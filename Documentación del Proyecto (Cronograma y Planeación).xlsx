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nilibrebog-my.sharepoint.com/personal/britneym-morad_unilibre_edu_co/Documents/5 SEMESTRE/Gestión de Proyectos/1er Corte/"/>
    </mc:Choice>
  </mc:AlternateContent>
  <xr:revisionPtr revIDLastSave="4150" documentId="13_ncr:1_{D183F75C-5F82-47FF-AF39-BE24DD71B365}" xr6:coauthVersionLast="47" xr6:coauthVersionMax="47" xr10:uidLastSave="{C96F424F-F935-4F26-B2E6-6E5383499903}"/>
  <bookViews>
    <workbookView xWindow="-120" yWindow="-120" windowWidth="29040" windowHeight="15720" tabRatio="558" firstSheet="11" activeTab="3" xr2:uid="{00000000-000D-0000-FFFF-FFFF00000000}"/>
  </bookViews>
  <sheets>
    <sheet name="LA" sheetId="2" state="hidden" r:id="rId1"/>
    <sheet name="ET" sheetId="3" state="hidden" r:id="rId2"/>
    <sheet name="cronograma-costo (2)" sheetId="31" state="hidden" r:id="rId3"/>
    <sheet name="Actividades ✓" sheetId="41" r:id="rId4"/>
    <sheet name="Cronograma ✓" sheetId="37" r:id="rId5"/>
    <sheet name="Matriz RACI ✓" sheetId="42" r:id="rId6"/>
    <sheet name="Gestión de interesados ✓" sheetId="43" r:id="rId7"/>
    <sheet name="Planeación y Costo ✓" sheetId="32" r:id="rId8"/>
    <sheet name="Costo Real ✓" sheetId="40" r:id="rId9"/>
    <sheet name="Planificado vs costo real ✓" sheetId="45" r:id="rId10"/>
    <sheet name="Evaluación de riesgo ✓" sheetId="47" r:id="rId11"/>
    <sheet name="Matriz Impacto ✓" sheetId="48" r:id="rId12"/>
  </sheets>
  <externalReferences>
    <externalReference r:id="rId13"/>
  </externalReferences>
  <definedNames>
    <definedName name="_xlnm._FilterDatabase" localSheetId="7" hidden="1">'Planeación y Costo ✓'!$G$7:$G$997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8" l="1"/>
  <c r="E14" i="48"/>
  <c r="C14" i="48"/>
  <c r="E13" i="48"/>
  <c r="D12" i="48"/>
  <c r="E11" i="48"/>
  <c r="D10" i="48"/>
  <c r="C9" i="48"/>
  <c r="C8" i="48"/>
  <c r="D6" i="48"/>
  <c r="E5" i="48"/>
  <c r="E7" i="48"/>
  <c r="I9" i="40"/>
  <c r="I10" i="40"/>
  <c r="I11" i="40"/>
  <c r="I12" i="40"/>
  <c r="I13" i="40"/>
  <c r="I14" i="40"/>
  <c r="I15" i="40"/>
  <c r="I16" i="40"/>
  <c r="I19" i="40"/>
  <c r="I20" i="40"/>
  <c r="I21" i="40"/>
  <c r="I22" i="40"/>
  <c r="I23" i="40"/>
  <c r="I24" i="40"/>
  <c r="I27" i="40"/>
  <c r="I28" i="40"/>
  <c r="I29" i="40"/>
  <c r="I32" i="40"/>
  <c r="I33" i="40"/>
  <c r="I34" i="40"/>
  <c r="I37" i="40"/>
  <c r="C20" i="37"/>
  <c r="L17" i="32"/>
  <c r="L39" i="32"/>
  <c r="L40" i="32"/>
  <c r="L20" i="32"/>
  <c r="L30" i="32"/>
  <c r="L27" i="32"/>
  <c r="L36" i="32"/>
  <c r="L11" i="32"/>
  <c r="L10" i="32"/>
  <c r="L9" i="32"/>
  <c r="L37" i="32"/>
  <c r="L21" i="32"/>
  <c r="L41" i="32"/>
  <c r="L28" i="32"/>
  <c r="L18" i="32"/>
  <c r="L19" i="32"/>
  <c r="L14" i="32"/>
  <c r="L31" i="32"/>
  <c r="L32" i="32"/>
  <c r="L26" i="32"/>
  <c r="L35" i="32"/>
  <c r="L16" i="32"/>
  <c r="L15" i="32"/>
  <c r="L13" i="32"/>
  <c r="L8" i="32"/>
  <c r="K39" i="32"/>
  <c r="K40" i="32"/>
  <c r="K35" i="32"/>
  <c r="K27" i="32"/>
  <c r="K26" i="32"/>
  <c r="K21" i="32"/>
  <c r="K10" i="32"/>
  <c r="K11" i="32"/>
  <c r="K9" i="32"/>
  <c r="J12" i="32"/>
  <c r="F45" i="32"/>
  <c r="K45" i="32"/>
  <c r="L45" i="32"/>
  <c r="F44" i="32"/>
  <c r="K44" i="32"/>
  <c r="F43" i="32"/>
  <c r="K43" i="32"/>
  <c r="L43" i="32"/>
  <c r="L44" i="32"/>
  <c r="F41" i="32"/>
  <c r="K41" i="32"/>
  <c r="F37" i="32"/>
  <c r="K37" i="32"/>
  <c r="F36" i="32"/>
  <c r="K36" i="32"/>
  <c r="F32" i="32"/>
  <c r="K32" i="32"/>
  <c r="F31" i="32"/>
  <c r="K31" i="32"/>
  <c r="F30" i="32"/>
  <c r="K30" i="32"/>
  <c r="F28" i="32"/>
  <c r="K28" i="32"/>
  <c r="K8" i="32"/>
  <c r="F8" i="32"/>
  <c r="K105" i="41"/>
  <c r="K98" i="41"/>
  <c r="K12" i="41"/>
  <c r="J62" i="41"/>
  <c r="J18" i="41"/>
  <c r="I92" i="41"/>
  <c r="K127" i="41"/>
  <c r="K117" i="41"/>
  <c r="K87" i="41"/>
  <c r="K80" i="41"/>
  <c r="J111" i="41"/>
  <c r="J105" i="41"/>
  <c r="J98" i="41"/>
  <c r="I31" i="41"/>
  <c r="J87" i="41"/>
  <c r="I117" i="41"/>
  <c r="N31" i="41"/>
  <c r="J74" i="41"/>
  <c r="J80" i="41"/>
  <c r="I87" i="41"/>
  <c r="N44" i="41"/>
  <c r="N56" i="41"/>
  <c r="E5" i="32"/>
  <c r="D3" i="37"/>
  <c r="F5" i="45"/>
  <c r="A33" i="37"/>
  <c r="A31" i="37"/>
  <c r="M29" i="32"/>
  <c r="G30" i="45"/>
  <c r="F30" i="45"/>
  <c r="E33" i="45"/>
  <c r="E32" i="45"/>
  <c r="G5" i="45"/>
  <c r="F6" i="45"/>
  <c r="F4" i="45"/>
  <c r="G6" i="45"/>
  <c r="F25" i="32"/>
  <c r="F29" i="32"/>
  <c r="F24" i="32"/>
  <c r="F34" i="32"/>
  <c r="F38" i="32"/>
  <c r="F33" i="32"/>
  <c r="F42" i="32"/>
  <c r="C14" i="37"/>
  <c r="C24" i="37"/>
  <c r="C23" i="37"/>
  <c r="C33" i="37"/>
  <c r="D24" i="37"/>
  <c r="D28" i="37"/>
  <c r="D31" i="37"/>
  <c r="A30" i="37"/>
  <c r="A13" i="37"/>
  <c r="A22" i="37"/>
  <c r="A26" i="37"/>
  <c r="D14" i="37"/>
  <c r="D10" i="37"/>
  <c r="C10" i="37"/>
  <c r="B10" i="37"/>
  <c r="A10" i="37"/>
  <c r="C19" i="37"/>
  <c r="E18" i="32"/>
  <c r="E20" i="32"/>
  <c r="E19" i="32"/>
  <c r="E11" i="32"/>
  <c r="E10" i="32"/>
  <c r="E9" i="32"/>
  <c r="E17" i="32"/>
  <c r="E16" i="32"/>
  <c r="E15" i="32"/>
  <c r="E14" i="32"/>
  <c r="E13" i="32"/>
  <c r="F14" i="32"/>
  <c r="K14" i="32"/>
  <c r="F15" i="32"/>
  <c r="K15" i="32"/>
  <c r="F16" i="32"/>
  <c r="K16" i="32"/>
  <c r="F17" i="32"/>
  <c r="K17" i="32"/>
  <c r="F18" i="32"/>
  <c r="K18" i="32"/>
  <c r="F19" i="32"/>
  <c r="K19" i="32"/>
  <c r="F20" i="32"/>
  <c r="K20" i="32"/>
  <c r="F13" i="32"/>
  <c r="C9" i="37"/>
  <c r="B9" i="37"/>
  <c r="C8" i="37"/>
  <c r="B8" i="37"/>
  <c r="F10" i="45"/>
  <c r="G10" i="45"/>
  <c r="F11" i="45"/>
  <c r="G11" i="45"/>
  <c r="F12" i="45"/>
  <c r="G12" i="45"/>
  <c r="F14" i="45"/>
  <c r="G14" i="45"/>
  <c r="F15" i="45"/>
  <c r="G15" i="45"/>
  <c r="F16" i="45"/>
  <c r="G16" i="45"/>
  <c r="F19" i="45"/>
  <c r="G19" i="45"/>
  <c r="F20" i="45"/>
  <c r="G20" i="45"/>
  <c r="F21" i="45"/>
  <c r="G21" i="45"/>
  <c r="F23" i="45"/>
  <c r="G23" i="45"/>
  <c r="F24" i="45"/>
  <c r="G24" i="45"/>
  <c r="F25" i="45"/>
  <c r="G25" i="45"/>
  <c r="F27" i="45"/>
  <c r="G27" i="45"/>
  <c r="F28" i="45"/>
  <c r="G28" i="45"/>
  <c r="F29" i="45"/>
  <c r="G29" i="45"/>
  <c r="F34" i="45"/>
  <c r="F31" i="45"/>
  <c r="G34" i="45"/>
  <c r="G31" i="45"/>
  <c r="A14" i="37"/>
  <c r="A9" i="37"/>
  <c r="B6" i="37"/>
  <c r="C6" i="37"/>
  <c r="D6" i="37"/>
  <c r="A8" i="37"/>
  <c r="A15" i="37"/>
  <c r="A16" i="37"/>
  <c r="A19" i="37"/>
  <c r="A20" i="37"/>
  <c r="A18" i="37"/>
  <c r="A24" i="37"/>
  <c r="A25" i="37"/>
  <c r="A23" i="37"/>
  <c r="A28" i="37"/>
  <c r="A29" i="37"/>
  <c r="A27" i="37"/>
  <c r="A32" i="37"/>
  <c r="C32" i="37"/>
  <c r="C31" i="37"/>
  <c r="B32" i="37"/>
  <c r="B33" i="37"/>
  <c r="B31" i="37"/>
  <c r="C28" i="37"/>
  <c r="C29" i="37"/>
  <c r="C27" i="37"/>
  <c r="B28" i="37"/>
  <c r="B29" i="37"/>
  <c r="B27" i="37"/>
  <c r="C25" i="37"/>
  <c r="B24" i="37"/>
  <c r="B25" i="37"/>
  <c r="B23" i="37"/>
  <c r="C18" i="37"/>
  <c r="B19" i="37"/>
  <c r="B20" i="37"/>
  <c r="B18" i="37"/>
  <c r="C15" i="37"/>
  <c r="C16" i="37"/>
  <c r="B15" i="37"/>
  <c r="B16" i="37"/>
  <c r="B14" i="37"/>
  <c r="D32" i="37"/>
  <c r="D33" i="37"/>
  <c r="D29" i="37"/>
  <c r="D27" i="37"/>
  <c r="D25" i="37"/>
  <c r="D23" i="37"/>
  <c r="D19" i="37"/>
  <c r="D20" i="37"/>
  <c r="D18" i="37"/>
  <c r="D15" i="37"/>
  <c r="D8" i="37"/>
  <c r="E29" i="45"/>
  <c r="E28" i="45"/>
  <c r="E27" i="45"/>
  <c r="E25" i="45"/>
  <c r="E24" i="45"/>
  <c r="E23" i="45"/>
  <c r="E21" i="45"/>
  <c r="E20" i="45"/>
  <c r="E19" i="45"/>
  <c r="E16" i="45"/>
  <c r="E15" i="45"/>
  <c r="E14" i="45"/>
  <c r="E12" i="45"/>
  <c r="E11" i="45"/>
  <c r="E10" i="45"/>
  <c r="E6" i="45"/>
  <c r="E5" i="45"/>
  <c r="G4" i="45"/>
  <c r="G3" i="45"/>
  <c r="G26" i="45"/>
  <c r="F26" i="45"/>
  <c r="E26" i="45"/>
  <c r="G22" i="45"/>
  <c r="F22" i="45"/>
  <c r="E22" i="45"/>
  <c r="G18" i="45"/>
  <c r="G17" i="45"/>
  <c r="F18" i="45"/>
  <c r="G13" i="45"/>
  <c r="F13" i="45"/>
  <c r="E13" i="45"/>
  <c r="G9" i="45"/>
  <c r="G8" i="45"/>
  <c r="G7" i="45"/>
  <c r="F9" i="45"/>
  <c r="D16" i="37"/>
  <c r="F23" i="32"/>
  <c r="J4" i="45"/>
  <c r="G36" i="45"/>
  <c r="G37" i="45"/>
  <c r="G38" i="45"/>
  <c r="F8" i="45"/>
  <c r="E9" i="45"/>
  <c r="F17" i="45"/>
  <c r="E17" i="45"/>
  <c r="E18" i="45"/>
  <c r="F3" i="45"/>
  <c r="E4" i="45"/>
  <c r="J3" i="45"/>
  <c r="F7" i="45"/>
  <c r="F36" i="45"/>
  <c r="E8" i="45"/>
  <c r="E7" i="45"/>
  <c r="Q37" i="31"/>
  <c r="I37" i="31"/>
  <c r="H37" i="31"/>
  <c r="G37" i="31"/>
  <c r="G35" i="31"/>
  <c r="F37" i="31"/>
  <c r="F35" i="31"/>
  <c r="E37" i="31"/>
  <c r="D37" i="31"/>
  <c r="C37" i="31"/>
  <c r="C35" i="31"/>
  <c r="B37" i="31"/>
  <c r="Q35" i="31"/>
  <c r="I35" i="31"/>
  <c r="H35" i="31"/>
  <c r="E35" i="31"/>
  <c r="D35" i="31"/>
  <c r="B35" i="31"/>
  <c r="R34" i="31"/>
  <c r="R33" i="31"/>
  <c r="R32" i="31"/>
  <c r="R31" i="31"/>
  <c r="R30" i="31"/>
  <c r="R29" i="31"/>
  <c r="R28" i="31"/>
  <c r="B28" i="31"/>
  <c r="R27" i="31"/>
  <c r="R26" i="31"/>
  <c r="R25" i="31"/>
  <c r="R24" i="31"/>
  <c r="R23" i="31"/>
  <c r="Q22" i="31"/>
  <c r="I22" i="31"/>
  <c r="H22" i="31"/>
  <c r="G22" i="31"/>
  <c r="F22" i="31"/>
  <c r="E22" i="31"/>
  <c r="D22" i="31"/>
  <c r="C22" i="31"/>
  <c r="B22" i="31"/>
  <c r="Q9" i="31"/>
  <c r="I9" i="31"/>
  <c r="H9" i="31"/>
  <c r="G9" i="31"/>
  <c r="F9" i="31"/>
  <c r="E9" i="31"/>
  <c r="D9" i="31"/>
  <c r="C9" i="31"/>
  <c r="R9" i="31"/>
  <c r="B9" i="31"/>
  <c r="Q6" i="31"/>
  <c r="I6" i="31"/>
  <c r="H6" i="31"/>
  <c r="G6" i="31"/>
  <c r="F6" i="31"/>
  <c r="E6" i="31"/>
  <c r="D6" i="31"/>
  <c r="C6" i="31"/>
  <c r="F37" i="45"/>
  <c r="F38" i="45"/>
  <c r="E36" i="45"/>
  <c r="R22" i="31"/>
  <c r="H40" i="31"/>
  <c r="F40" i="31"/>
  <c r="Q40" i="31"/>
  <c r="E40" i="31"/>
  <c r="I40" i="31"/>
  <c r="R35" i="31"/>
  <c r="B40" i="31"/>
  <c r="D40" i="31"/>
  <c r="G40" i="31"/>
  <c r="C40" i="31"/>
  <c r="R37" i="31"/>
  <c r="R6" i="31"/>
  <c r="R5" i="31"/>
  <c r="R40" i="31"/>
  <c r="M42" i="32"/>
  <c r="M25" i="32"/>
  <c r="M24" i="32"/>
  <c r="F12" i="32"/>
  <c r="D9" i="37"/>
  <c r="K13" i="32"/>
  <c r="F7" i="32"/>
  <c r="F5" i="32"/>
  <c r="K12" i="32"/>
  <c r="M38" i="32"/>
  <c r="M34" i="32"/>
  <c r="M33" i="32"/>
  <c r="F47" i="32"/>
  <c r="L5" i="32"/>
  <c r="M47" i="32"/>
  <c r="L12" i="32"/>
  <c r="M7" i="32"/>
  <c r="M48" i="32"/>
  <c r="K5" i="32"/>
  <c r="M49" i="32"/>
  <c r="M5" i="32"/>
  <c r="I31" i="40" l="1"/>
  <c r="I26" i="40"/>
  <c r="I18" i="40"/>
  <c r="I8" i="40"/>
  <c r="I35" i="40" s="1"/>
  <c r="I36" i="40" l="1"/>
  <c r="I38" i="40"/>
</calcChain>
</file>

<file path=xl/sharedStrings.xml><?xml version="1.0" encoding="utf-8"?>
<sst xmlns="http://schemas.openxmlformats.org/spreadsheetml/2006/main" count="1133" uniqueCount="618">
  <si>
    <t>CONTROL DE VERSIONES</t>
  </si>
  <si>
    <t xml:space="preserve">Versión </t>
  </si>
  <si>
    <t>Hecha por:</t>
  </si>
  <si>
    <t>Revisada por</t>
  </si>
  <si>
    <t>Aprobada por</t>
  </si>
  <si>
    <t>Fecha</t>
  </si>
  <si>
    <t>Motivo:</t>
  </si>
  <si>
    <t>0.1</t>
  </si>
  <si>
    <t>LB</t>
  </si>
  <si>
    <t>DT</t>
  </si>
  <si>
    <t>Version Original</t>
  </si>
  <si>
    <t>LISTA DE ACTIVIDADES</t>
  </si>
  <si>
    <t>NOMBRE DEL PROYECTO</t>
  </si>
  <si>
    <t>SIGLAS DEL PROYECTO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</si>
  <si>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</si>
  <si>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</si>
  <si>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</si>
  <si>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</si>
  <si>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</si>
  <si>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</si>
  <si>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</si>
  <si>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</si>
  <si>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</si>
  <si>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</si>
  <si>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ESTIMACIÓN DE TIEMPOS</t>
  </si>
  <si>
    <t>ACTIVIDAD/PAQUETE DE TRABAJO/ENTREGABLE</t>
  </si>
  <si>
    <t>UNIDAD DE MEDIDA</t>
  </si>
  <si>
    <t>ESTIMACIÓN ANALOGA (RENDIMIENTOS)</t>
  </si>
  <si>
    <t>ESTIMACIÓN POR TRES VALORES</t>
  </si>
  <si>
    <t>ESTIMACIÓN PARAMETRICA</t>
  </si>
  <si>
    <t>cO</t>
  </si>
  <si>
    <t>cM</t>
  </si>
  <si>
    <t>cP</t>
  </si>
  <si>
    <t>cE</t>
  </si>
  <si>
    <t>VALOR/UNIDAD DE MEDIDA</t>
  </si>
  <si>
    <t>Cronograma (Planificación)</t>
  </si>
  <si>
    <t>DETALLE</t>
  </si>
  <si>
    <t>Duración dias</t>
  </si>
  <si>
    <t>Semanas</t>
  </si>
  <si>
    <t>Línea base</t>
  </si>
  <si>
    <t>Desarrollo sitio web</t>
  </si>
  <si>
    <t>1.  Inicio</t>
  </si>
  <si>
    <t xml:space="preserve">Acta </t>
  </si>
  <si>
    <t>Equipo de trabajo</t>
  </si>
  <si>
    <t>2.  Planificación</t>
  </si>
  <si>
    <t>3.1 Diseño</t>
  </si>
  <si>
    <t>3.1.1 Levantamiento información</t>
  </si>
  <si>
    <t>3.1.2 Elaboración interfaz</t>
  </si>
  <si>
    <t>3.1.3 Validaciónes</t>
  </si>
  <si>
    <t>3.2 Análisis</t>
  </si>
  <si>
    <t>3.3 Programación</t>
  </si>
  <si>
    <t>3.3.1  Código</t>
  </si>
  <si>
    <t xml:space="preserve">3.3.2 Carga Inicial </t>
  </si>
  <si>
    <t>3.3.3 Integración</t>
  </si>
  <si>
    <t>3.3.4 Pruebas</t>
  </si>
  <si>
    <t>3.4 Puesta en operación</t>
  </si>
  <si>
    <t xml:space="preserve">3.5 Entregable: Página web </t>
  </si>
  <si>
    <t>3. Ejecución</t>
  </si>
  <si>
    <t>4. Monitoreo y control</t>
  </si>
  <si>
    <t>4.1 Revisión</t>
  </si>
  <si>
    <t>5. Cierre</t>
  </si>
  <si>
    <t>5.1 Reuniones</t>
  </si>
  <si>
    <t>5.2 Informe</t>
  </si>
  <si>
    <t>Total</t>
  </si>
  <si>
    <t>TechVista</t>
  </si>
  <si>
    <t>THV</t>
  </si>
  <si>
    <t xml:space="preserve">EDT </t>
  </si>
  <si>
    <t>DURACIÓN HORAS</t>
  </si>
  <si>
    <t>PLANIFICACION ESTRATEGICA</t>
  </si>
  <si>
    <t>GERENTE GENERAL</t>
  </si>
  <si>
    <t>DEFINIR MISIÓN, VISIÓN Y OBJETIVOS DEL PROYECTO. ANALIZAR LA VIABILIDAD ECONÓMICA, IMPACTO ESTRATÉGICO Y SU ALINEACIÓN CON LA MISIÓN DE LA EMPRESA.</t>
  </si>
  <si>
    <t>NINGUNO</t>
  </si>
  <si>
    <t>1.1 - 2</t>
  </si>
  <si>
    <t>.</t>
  </si>
  <si>
    <t>3 días</t>
  </si>
  <si>
    <t>COMITÉ DIRECTIVO</t>
  </si>
  <si>
    <t>ANALISTA FINANCIERO</t>
  </si>
  <si>
    <t>DEFINICION DE METODOLOGIA DE TRABAJO</t>
  </si>
  <si>
    <t>1.1</t>
  </si>
  <si>
    <t>ANALISIS</t>
  </si>
  <si>
    <t>PMO</t>
  </si>
  <si>
    <t>ELEGIR Y JUSTIFICAR LA METODOLOGÍA DE GESTIÓN (SCRUM, KANBAN, PMBOK, HÍBRIDA). DEFINIR CEREMONIAS, RESPONSABLES, PERIODICIDAD DE ENTREGAS Y HERRAMIENTAS (JIRA, TRELLO, MS PROJECT).</t>
  </si>
  <si>
    <t>-</t>
  </si>
  <si>
    <t>2 días</t>
  </si>
  <si>
    <t xml:space="preserve">FIN A INICIO </t>
  </si>
  <si>
    <t>GERENTE DE PROYECTO</t>
  </si>
  <si>
    <t>LÍDERES DE ÁREA</t>
  </si>
  <si>
    <t>DEFINICION DE INDICADORES DE EXITO</t>
  </si>
  <si>
    <t>ESTABLECER INDICADORES DE DESEMPEÑO (CUMPLIMIENTO DE HITOS, ROI, SATISFACCIÓN DE USUARIOS, TIEMPO DE ENTREGA, COSTO POR FASE).</t>
  </si>
  <si>
    <t>DIRECTOR FINANCIERO</t>
  </si>
  <si>
    <t>GERENTE DE DESARROLLO</t>
  </si>
  <si>
    <t>GESTION DE RECURSOS Y PRESUPUESTOS</t>
  </si>
  <si>
    <t>ENTREGABLE</t>
  </si>
  <si>
    <t>ASEGURAR SOSTENIBILIDAD ECONÓMICA A LARGO PLAZO. ASIGNAR PRESUPUESTO, VALIDAR RECURSOS HUMANOS, TECNOLÓGICOS Y LOGÍSTICOS. EVALUAR PROVEEDORES EXTERNOS.</t>
  </si>
  <si>
    <t>2.1 - 3</t>
  </si>
  <si>
    <t>ASIGNACION DE PRESUPUESTO</t>
  </si>
  <si>
    <t>DETERMINAR LOS COSTOS DE CADA FASE, APROBAR PRESUPUESTO Y ESTABLECER MECANISMOS DE CONTROL DE GASTO.</t>
  </si>
  <si>
    <t>SUPERVISIÓN EJECUTIVA</t>
  </si>
  <si>
    <t>INFORMES PERIÓDICOS DE AVANCE Y RESULTADOS. TOMAR DECISIONES CORRECTIVAS, PRIORIZAR ACTIVIDADES Y GARANTIZAR LA ALINEACIÓN ESTRATÉGICA.</t>
  </si>
  <si>
    <t>3.1 - 4</t>
  </si>
  <si>
    <t>1 día</t>
  </si>
  <si>
    <t>COMITÉ DE SEGUIMIENTO</t>
  </si>
  <si>
    <t>REVISION DE REPORTES SEMANALES</t>
  </si>
  <si>
    <t>REUNIONES SEMANALES PARA VALIDAR EL CUMPLIMIENTO DE HITOS Y DETECTAR RIESGOS TEMPRANOS.</t>
  </si>
  <si>
    <t>LÍDERES TÉCNICOS</t>
  </si>
  <si>
    <t>GESTION DE RIESGOS</t>
  </si>
  <si>
    <t>GERENTE DE RIESGOS</t>
  </si>
  <si>
    <t>IDENTIFICAR RIESGOS FINANCIEROS, TÉCNICOS Y LEGALES. DISEÑAR PLANES DE MITIGACIÓN Y RESPUESTA.</t>
  </si>
  <si>
    <t>4.1 - 5</t>
  </si>
  <si>
    <t xml:space="preserve">COMITÉ DE CUMPLIMIENTO </t>
  </si>
  <si>
    <t>IDENTIFICACION DE RIESGOS</t>
  </si>
  <si>
    <t>ANÁLISIS</t>
  </si>
  <si>
    <t xml:space="preserve">GERENTE DE RIESGOS </t>
  </si>
  <si>
    <t>DETECTAR RIESGOS INTERNOS Y EXTERNOS EN TODAS LAS FASES (ECONÓMICOS, TECNOLÓGICOS, LEGALES)</t>
  </si>
  <si>
    <t>LÍDERES DEL ÁREA</t>
  </si>
  <si>
    <t>PLANES DE MITIGACION</t>
  </si>
  <si>
    <t>DOCUMENTACION</t>
  </si>
  <si>
    <t>DEFINIR ESTRATEGIAS PARA REDUCIR LA PROBABILIDAD DE OCURRENCIA Y EL IMPACTO DE CADA RIESGO.</t>
  </si>
  <si>
    <t>COMITÉ DE RIEGOS</t>
  </si>
  <si>
    <t>EJECUCION</t>
  </si>
  <si>
    <t>INICIAR CON EL DESARROLLO DE LOS PRIMEROS ENTREGABLES. DEFINIR CRITERIOS DE ACEPTACION DE ENTREGABLES</t>
  </si>
  <si>
    <t>EQUIPO DE DESARROLLO</t>
  </si>
  <si>
    <t>DESARROLLO DE PRIMEROS ENTREGABLES</t>
  </si>
  <si>
    <t>REALIZAR LA CONSTRUCCION, INTEGRACION Y VALIDACION DE LOS COMPONENTES DEFINIDOS PREVIAMENTE EN LA PLANIFICACION, GARANTIZANDO EL AJUSTE A LOS REQUERIMIENTOS DEL PROYECTO.</t>
  </si>
  <si>
    <t>COMITÉ DE CALIDAD</t>
  </si>
  <si>
    <t>PRUEBAS DE CALIDAD E INTEGRACION</t>
  </si>
  <si>
    <t>ANALISIS/ENTREGABLE</t>
  </si>
  <si>
    <t>EQUIPO DE CALIDAD</t>
  </si>
  <si>
    <t>EJECUTAR PRUEBAS DE CALIDAD PARA CONFIRMAR QUE LOS ENTREGABLES CUMPLEN LOS REQUISITOS ESTABLECIDOS</t>
  </si>
  <si>
    <t>FIN A INICIO</t>
  </si>
  <si>
    <t>COMITÉ DE CUMPLIMIENTO</t>
  </si>
  <si>
    <t>IMPLEMENTACION DE PRUEBA</t>
  </si>
  <si>
    <t>EVALUAMOS UNA VERSION DE PRUEBA DEL PROYECTO EN UN ENTORNO CONTROLADO, PARA DETECTAR ERRORES Y REALIZAR AJUSTES ANTES DE LA VERSION FINAL</t>
  </si>
  <si>
    <t>CLIENTE</t>
  </si>
  <si>
    <t>CIERRE Y EVALUACIÓN DEL PROYECTO</t>
  </si>
  <si>
    <t>FORMALIZAR LA CONCLUSIÓN DEL PROYECTO VERIFICANDO EL CUMPLIMIENTO DE LOS OBJETIVOS ESTRATÉGICOS, EL USO DEL PRESUPUESTO Y LA SATISFACCIÓN DE LOS STAKEHOLDERS</t>
  </si>
  <si>
    <t>VALIDACIÓN DE ENTREGABLES FINALES</t>
  </si>
  <si>
    <t>COMIITÉ DE CALIDAD</t>
  </si>
  <si>
    <t>CONFIRMAR QUE LA SOLUCIÓN CUMPLE CON LOS REQUERIMIENTOS ACORDADOS Y ESTÁ LISTA PARA OPERACIÓN ESTABLE.</t>
  </si>
  <si>
    <t>RETROALIMENTACIÓN</t>
  </si>
  <si>
    <t>IDENTIFICAR ACIERTOS, ERRORES Y RECOMENDACIONES PARA PROYECTOS FUTUROS.</t>
  </si>
  <si>
    <t>RRHH</t>
  </si>
  <si>
    <t>CAPACITACION A USUARIOS</t>
  </si>
  <si>
    <t>RECURSOS HUMANOS</t>
  </si>
  <si>
    <t>REALIZAR CAPACITACION DEL SOFTWARE AL CLIENTE FINAL</t>
  </si>
  <si>
    <t>LIBERACIÓN DE RECURSOS</t>
  </si>
  <si>
    <t>FINALIZAR CONTRATOS CON PROVEEDORES, LIBERAR PRESUPUESTO NO USADO Y REASIGNAR TALENTO A NUEVOS PROYECTOS.</t>
  </si>
  <si>
    <t>GENRENCIA FINANCIERA</t>
  </si>
  <si>
    <t>ENTREGA FINAL</t>
  </si>
  <si>
    <t>REALIZAR LA PRESENTACION A LOS CLIENTES E INTERESADOS DEL PROYECTO UNIFICANDO TODAS LAS ACTIVIDADES REALIZADAS POR LAS AREAS ASIGNADAS</t>
  </si>
  <si>
    <t>fecha inicio</t>
  </si>
  <si>
    <t>fecha fin</t>
  </si>
  <si>
    <t>Agosto</t>
  </si>
  <si>
    <t>Septiembre</t>
  </si>
  <si>
    <t>Octubre</t>
  </si>
  <si>
    <t>Noviembre</t>
  </si>
  <si>
    <t>Diciembre</t>
  </si>
  <si>
    <t>Semana 0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</si>
  <si>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</si>
  <si>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</si>
  <si>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</si>
  <si>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</si>
  <si>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</si>
  <si>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</si>
  <si>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</si>
  <si>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</si>
  <si>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</si>
  <si>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</si>
  <si>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</si>
  <si>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</si>
  <si>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</si>
  <si>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</si>
  <si>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</si>
  <si>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</si>
  <si>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</si>
  <si>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</si>
  <si>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</si>
  <si>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</si>
  <si>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</si>
  <si>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</si>
  <si>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Desarrollo del sistema interactivo sobre hardware y software</t>
  </si>
  <si>
    <t>1. INICIO</t>
  </si>
  <si>
    <t>2. EJECUCIÓN DEL PROYECTO</t>
  </si>
  <si>
    <t xml:space="preserve">2.1.  Fase 1: Análisis y Diseño </t>
  </si>
  <si>
    <t>2.1.2. Diseño</t>
  </si>
  <si>
    <t>2.2.  Fase 2: Desarrollo e Implementación</t>
  </si>
  <si>
    <t>MATRIZ RACI SIMPLE</t>
  </si>
  <si>
    <t>Hamilthon Ortega Gerente del Proyecto</t>
  </si>
  <si>
    <t>Andrés Ruiz Jefe de Recepción</t>
  </si>
  <si>
    <t>IngridDesarrollador Backend</t>
  </si>
  <si>
    <t>Britney Diseñador UX/UI</t>
  </si>
  <si>
    <t>Francy Bereño Técnico de TI</t>
  </si>
  <si>
    <t>PRIORIDAD</t>
  </si>
  <si>
    <t>ESTADO</t>
  </si>
  <si>
    <t>RESULTADO/ACTIVIDAD DEL PROYECTO</t>
  </si>
  <si>
    <t>Liderazgo de proyectos</t>
  </si>
  <si>
    <t>FASE 1</t>
  </si>
  <si>
    <t>Baja</t>
  </si>
  <si>
    <t>Completo</t>
  </si>
  <si>
    <t>Realizar el acta del proyecto</t>
  </si>
  <si>
    <t>R</t>
  </si>
  <si>
    <t>Media</t>
  </si>
  <si>
    <t>Reunir al grupo</t>
  </si>
  <si>
    <t>A</t>
  </si>
  <si>
    <t>Alta</t>
  </si>
  <si>
    <t>Asignación de actividades</t>
  </si>
  <si>
    <t>I</t>
  </si>
  <si>
    <t>Definición de requerimientos</t>
  </si>
  <si>
    <t>C</t>
  </si>
  <si>
    <t>Investigación de requerimientos</t>
  </si>
  <si>
    <t>Consultar temas críticos en hadware y software</t>
  </si>
  <si>
    <t>FASE 2</t>
  </si>
  <si>
    <t>Diseño de arquitectura de la plataforma</t>
  </si>
  <si>
    <t>En curso</t>
  </si>
  <si>
    <t>Creación de prototipos por medio de figma</t>
  </si>
  <si>
    <t>No se ha iniciado</t>
  </si>
  <si>
    <t>Diseño de modulo interactivos</t>
  </si>
  <si>
    <t>FASE 3</t>
  </si>
  <si>
    <t>Creación de backed</t>
  </si>
  <si>
    <t>Desarrollo del fronted</t>
  </si>
  <si>
    <t>Integración de herramientas educativas</t>
  </si>
  <si>
    <t>FASE 4</t>
  </si>
  <si>
    <t>Pruebas unitarias y de integración</t>
  </si>
  <si>
    <t>Pruebas de usabilidad con estudiantes reales</t>
  </si>
  <si>
    <t>Validación de contenidos con expertos</t>
  </si>
  <si>
    <t>FASE 5</t>
  </si>
  <si>
    <t>Configuración de servidores</t>
  </si>
  <si>
    <t>Implementación de seguridad básica</t>
  </si>
  <si>
    <t>TECLAS DESPLEGABLES DE RACI</t>
  </si>
  <si>
    <t xml:space="preserve">– NO ELIMINAR – </t>
  </si>
  <si>
    <t>CLAVE de RACI</t>
  </si>
  <si>
    <t>Responsable</t>
  </si>
  <si>
    <t>A cargo</t>
  </si>
  <si>
    <t>Consultado</t>
  </si>
  <si>
    <t>Informado</t>
  </si>
  <si>
    <t>Necesita revisión</t>
  </si>
  <si>
    <t>Aprobado</t>
  </si>
  <si>
    <t>Atrasado</t>
  </si>
  <si>
    <t>En espera</t>
  </si>
  <si>
    <t>Gestión de Interesados</t>
  </si>
  <si>
    <t>Nombre del Proyecto</t>
  </si>
  <si>
    <t>Gerente del Proyecto</t>
  </si>
  <si>
    <t>TECH VISTA</t>
  </si>
  <si>
    <t>Hamilthon Ortega</t>
  </si>
  <si>
    <t>Entregable del Proyecto</t>
  </si>
  <si>
    <t xml:space="preserve">- Identificar expectativas y necesidades de cada interesado.
- Diseñar una estrategia de comunicación efectiva según su nivel de influencia.
- Aumentar el compromiso de los interesados clave.
- Prevenir conflictos o resistencias mediante información clara y oportuna
</t>
  </si>
  <si>
    <t>COMMUNICACION</t>
  </si>
  <si>
    <t>NIVEL DE COMPROMISO</t>
  </si>
  <si>
    <t>INTERESADO</t>
  </si>
  <si>
    <t>CARGO</t>
  </si>
  <si>
    <t>CORREO ELECTRONICO</t>
  </si>
  <si>
    <t>INFLUENCIA</t>
  </si>
  <si>
    <t>TIPO DE INFORMACION</t>
  </si>
  <si>
    <t>TOMADOR DE DECISIONES?</t>
  </si>
  <si>
    <t>Frecuencia</t>
  </si>
  <si>
    <t>Tipo</t>
  </si>
  <si>
    <t>Desconocedor</t>
  </si>
  <si>
    <t>En contra</t>
  </si>
  <si>
    <t>Neutral</t>
  </si>
  <si>
    <t>Colaborador</t>
  </si>
  <si>
    <t>Líder</t>
  </si>
  <si>
    <t xml:space="preserve">Hamilthone-ortegam@unilibre.edu.co </t>
  </si>
  <si>
    <t>Low</t>
  </si>
  <si>
    <t>Toma de decisiones y control del proyecto</t>
  </si>
  <si>
    <t>Yes</t>
  </si>
  <si>
    <t>Semanal</t>
  </si>
  <si>
    <t>Reuniones de seguimiento</t>
  </si>
  <si>
    <t>✓</t>
  </si>
  <si>
    <t>Andres Ruiz</t>
  </si>
  <si>
    <t>Jefe de Recepción</t>
  </si>
  <si>
    <t xml:space="preserve">Andresd-ruizr@unilibre.edu.co  </t>
  </si>
  <si>
    <t>Medium</t>
  </si>
  <si>
    <t>Asegurar funcionalidad y eficiencia en la recepción</t>
  </si>
  <si>
    <t>No</t>
  </si>
  <si>
    <t>Reuniones operativas</t>
  </si>
  <si>
    <t>Francy Bereño</t>
  </si>
  <si>
    <t>Técnico de TI</t>
  </si>
  <si>
    <t xml:space="preserve">francyl-barenoo@unilibre.edu.co  </t>
  </si>
  <si>
    <t>Garantizar integración tecnológica y soporte técnico</t>
  </si>
  <si>
    <t>Reuniones técnicas</t>
  </si>
  <si>
    <t xml:space="preserve"> </t>
  </si>
  <si>
    <t xml:space="preserve">Ingrid V Oviedo </t>
  </si>
  <si>
    <t>Desarrollador</t>
  </si>
  <si>
    <t xml:space="preserve">Ingridv-oviedon@unilibre.edu.co  </t>
  </si>
  <si>
    <t>High</t>
  </si>
  <si>
    <t>Diseñar, construir y mantener la funcionalidad técnica de la aplicación</t>
  </si>
  <si>
    <t>En operacion, desarollador</t>
  </si>
  <si>
    <t xml:space="preserve">Britney Mora </t>
  </si>
  <si>
    <t>Administrativa</t>
  </si>
  <si>
    <t xml:space="preserve">britneym-morad@unilibre.edu.co  </t>
  </si>
  <si>
    <t>Coordinar aspectos administrativos y logísticos</t>
  </si>
  <si>
    <t>Mensual</t>
  </si>
  <si>
    <t>Correos / reuniones</t>
  </si>
  <si>
    <t>Desarrollador Backend</t>
  </si>
  <si>
    <t>Implementar la lógica del sistema y gestionar la base de datos</t>
  </si>
  <si>
    <t>Reuniones técnicas / repositorio</t>
  </si>
  <si>
    <t>Diseñador UX/UI</t>
  </si>
  <si>
    <t>mdunn@email.com</t>
  </si>
  <si>
    <t>Mejorar la experiencia de usuario y validar la usabilidad de ambas interfaces</t>
  </si>
  <si>
    <t>Quincenal</t>
  </si>
  <si>
    <t>Revisión de prototipos / Figma</t>
  </si>
  <si>
    <t xml:space="preserve">Francy Bareño </t>
  </si>
  <si>
    <t>Tester / QA</t>
  </si>
  <si>
    <t>Detectar errores, validar funcionalidades y asegurar calidad</t>
  </si>
  <si>
    <t>Informes de pruebas / reuniones</t>
  </si>
  <si>
    <t>Analista de Datos</t>
  </si>
  <si>
    <t>Medir el uso de la app y proponer mejoras basadas en métricas</t>
  </si>
  <si>
    <t>Informes / dashboards</t>
  </si>
  <si>
    <t xml:space="preserve">Andrés Ruiz </t>
  </si>
  <si>
    <t>Coordinador de despliegue</t>
  </si>
  <si>
    <t>Coordinar pruebas finales y garantizar correcto funcionamiento</t>
  </si>
  <si>
    <t>Gestor de Retroalimentación</t>
  </si>
  <si>
    <t>Recoger opiniones de estudiantes y profesores para mejorar la app</t>
  </si>
  <si>
    <t>Encuestas / entrevistas</t>
  </si>
  <si>
    <t>Planificación</t>
  </si>
  <si>
    <t>Código Actividad</t>
  </si>
  <si>
    <t>Detalle</t>
  </si>
  <si>
    <t>Fecha inicio</t>
  </si>
  <si>
    <t>Fecha fin</t>
  </si>
  <si>
    <t>Duración horas</t>
  </si>
  <si>
    <t>Recurso personal</t>
  </si>
  <si>
    <t>Recursos tecnicos</t>
  </si>
  <si>
    <t>Recursos</t>
  </si>
  <si>
    <t>Hora</t>
  </si>
  <si>
    <t>Costo</t>
  </si>
  <si>
    <t>Subtotal</t>
  </si>
  <si>
    <t>total planificado</t>
  </si>
  <si>
    <t>1.INICIO</t>
  </si>
  <si>
    <t>1.1. Acta</t>
  </si>
  <si>
    <t>StakeHolders</t>
  </si>
  <si>
    <t>Computadora</t>
  </si>
  <si>
    <t>office</t>
  </si>
  <si>
    <t>Por hora</t>
  </si>
  <si>
    <t>T001</t>
  </si>
  <si>
    <t xml:space="preserve">Definir obejetivos, entregable y cronograma. </t>
  </si>
  <si>
    <t>Ingeniero de Software</t>
  </si>
  <si>
    <t>computadora</t>
  </si>
  <si>
    <t>Documentación</t>
  </si>
  <si>
    <t>T002</t>
  </si>
  <si>
    <t xml:space="preserve">Asignar roles y responsabilidades </t>
  </si>
  <si>
    <t>T003</t>
  </si>
  <si>
    <t>Documentación de avances (actas, reportes, valores planificados)</t>
  </si>
  <si>
    <t>1.2. Equipo de Trabajo</t>
  </si>
  <si>
    <t>T004</t>
  </si>
  <si>
    <t>Coordinador de proyectos, planifica, organiza y supervisa el desarrollo. Gestiona tiempos, recursos y entregables.</t>
  </si>
  <si>
    <t>Coordinador de proyectos</t>
  </si>
  <si>
    <t>Informes</t>
  </si>
  <si>
    <t>T005</t>
  </si>
  <si>
    <t>Diseñador/a UX/UI: Crea la interfaz visual y experiencia de usuario. Diseña prototipos y estructura de navegación.</t>
  </si>
  <si>
    <t>Diseñador/ a/UX/UI</t>
  </si>
  <si>
    <t>T006</t>
  </si>
  <si>
    <t>Desarrollador/a Frontend: Implementa la interfaz de usuario con frameworks como Angular o Ionic.</t>
  </si>
  <si>
    <t>Desarrolador/ a Fronted</t>
  </si>
  <si>
    <t>T007</t>
  </si>
  <si>
    <t>Desarrollador/a Backend: Construye la lógica del servidor, base de datos y seguridad.</t>
  </si>
  <si>
    <t>Desarrolador/a Backend</t>
  </si>
  <si>
    <t>T008</t>
  </si>
  <si>
    <t>Tester / QA (Quality Assurance): Realiza pruebas funcionales, de usabilidad y compatibilidad.</t>
  </si>
  <si>
    <t>Tester/ QA</t>
  </si>
  <si>
    <t>T009</t>
  </si>
  <si>
    <t>Especialista en Seguridad: Garantiza protección de datos y cumplimiento de normativas.</t>
  </si>
  <si>
    <t>Especialista en seguridad</t>
  </si>
  <si>
    <t>T010</t>
  </si>
  <si>
    <t>Diseñador/a de Identidad Visual: Crea el logo, paleta de colores, tipografía y estilo gráfico de la app.</t>
  </si>
  <si>
    <t>Diseñador/a de identidad visual</t>
  </si>
  <si>
    <t>T011</t>
  </si>
  <si>
    <t>Responsable de Documentación: Redacta actas, reportes, manuales y seguimiento del proyecto.</t>
  </si>
  <si>
    <t>Responsable de documentacion</t>
  </si>
  <si>
    <t>1.3 Asignacion de actividades</t>
  </si>
  <si>
    <t>Gerente del proyecto</t>
  </si>
  <si>
    <t>2.1.1. Análisis</t>
  </si>
  <si>
    <t xml:space="preserve">2.1.1.1. Definición de los requerimientos funcionales y no funcionales del sistema.  </t>
  </si>
  <si>
    <t>Diseñador</t>
  </si>
  <si>
    <t>Notion (documentación).</t>
  </si>
  <si>
    <t>2.1.1.2. Investigación de referentes.  (ej: Coursera, edX, simuladores como Cisco Packet Tracer).</t>
  </si>
  <si>
    <t>Ingeniero de Software, Diseñador.</t>
  </si>
  <si>
    <t>Benchmarks (Coursera, edX), ChatGPT (análisis de tendencias).</t>
  </si>
  <si>
    <t xml:space="preserve">2.1.1.3 Listado de temas críticos en hardware y software (ej: arquitectura Von Neumann, ensamblaje de PCs, IoT).
</t>
  </si>
  <si>
    <t>Experto en Hardware/Software.</t>
  </si>
  <si>
    <t>Miro (mapeo de temas), Trello (priorización).</t>
  </si>
  <si>
    <t>2.1.2.1. Diseño de la arquitectura de la plataforma  y diagramas de flujo para interacciones clave.</t>
  </si>
  <si>
    <t>Ingeniero de Software.</t>
  </si>
  <si>
    <t>Lucidchart (diagramas)</t>
  </si>
  <si>
    <t>2.1.2.2. Creación de prototipos de interfaz enfocados en usabilidad para estudiantes, con herramientas como Figma.</t>
  </si>
  <si>
    <t>Diseñador UI/UX.</t>
  </si>
  <si>
    <t>Figma</t>
  </si>
  <si>
    <t>2.1.2.3. Diseño de módulos interactivos (ej: actividades como selección de palabras, cuestionarios, ejercicios para señalar partes de componentes, arrastrar y soltar, entre otras dinámicas prácticas).</t>
  </si>
  <si>
    <t>Diseñador + Experto en Hardware</t>
  </si>
  <si>
    <t>Unity/Blender (simuladores 3D), Jupyter Notebooks.</t>
  </si>
  <si>
    <t>2.2.1. Implementación de la aplicación</t>
  </si>
  <si>
    <t>2.2.1.1. Desarrollo del frontend con tecnologías web interactivas (React.js, Three.js para modelos 3D, o Unity si se requiere mayor interactividad).</t>
  </si>
  <si>
    <t xml:space="preserve">
Ingeniero de Software (frontend).</t>
  </si>
  <si>
    <t>React.js, Three.js, CSS Modules.</t>
  </si>
  <si>
    <t>2.2.1.2. Construcción del backend (API REST con Node.js, gestión de usuarios, integración con bases de datos como MongoDB/PostgreSQL).</t>
  </si>
  <si>
    <t>Ingeniero de Software (backend).</t>
  </si>
  <si>
    <t>Node.js, Django REST, PostgreSQL.</t>
  </si>
  <si>
    <t>2.2.1.3. Integración de herramientas educativas (ej: Jupyter Notebooks para programación, Docker para laboratorios virtuales).</t>
  </si>
  <si>
    <t>Ingeniero + Experto en contenidos.</t>
  </si>
  <si>
    <t>Docker (containers), VirtualBox (laboratorios).</t>
  </si>
  <si>
    <t>2.2.2. Pruebas y Validación</t>
  </si>
  <si>
    <t>T012</t>
  </si>
  <si>
    <t>2.2.2.1. Pruebas unitarias y de integración (con frameworks como Jest, Selenium o PyTest).</t>
  </si>
  <si>
    <t>Tester, Ingeniero.</t>
  </si>
  <si>
    <t>Jest (unitarias), Selenium (E2E).</t>
  </si>
  <si>
    <t>T013</t>
  </si>
  <si>
    <t>2.2.2.2. Pruebas de usabilidad con estudiantes reales (tests A/B, feedback en tiempo real).</t>
  </si>
  <si>
    <t>Tester, Estudiantes beta.</t>
  </si>
  <si>
    <t xml:space="preserve"> Google Analytics.</t>
  </si>
  <si>
    <t>T014</t>
  </si>
  <si>
    <t>2.2.2.3. Validación de contenidos con expertos en hardware/software (correctitud técnica y pedagógica).</t>
  </si>
  <si>
    <t>Checklists técnicos</t>
  </si>
  <si>
    <t>2.3. Fase 3: Despliegue y Mantenimiento</t>
  </si>
  <si>
    <t>T015</t>
  </si>
  <si>
    <t>2.3.1.1. Configuración de servidores (AWS, Google Cloud, o on-premise) y despliegue de la plataforma.</t>
  </si>
  <si>
    <t>DevOps.</t>
  </si>
  <si>
    <t>AWS EC2, Kubernetes (orquestación).</t>
  </si>
  <si>
    <t>T016</t>
  </si>
  <si>
    <t>2.3.1.2. Implementación de CDN y seguridad básica (HTTPS, firewall, backups automáticos).</t>
  </si>
  <si>
    <t>Cloudflare (CDN), Certbot (HTTPS).</t>
  </si>
  <si>
    <t>T017</t>
  </si>
  <si>
    <t>2.3.2.3. Actualización periódica de contenidos y tecnologías (ej: nuevos modelos de hardware, frameworks actualizados).</t>
  </si>
  <si>
    <t>Experto en contenidos.</t>
  </si>
  <si>
    <t>CMS (ej: Strapi), Git (control de versiones).</t>
  </si>
  <si>
    <t>Imprevistos (10%)</t>
  </si>
  <si>
    <t>Total proyecto</t>
  </si>
  <si>
    <t>Costo Real</t>
  </si>
  <si>
    <t>Requisitos</t>
  </si>
  <si>
    <t>Costo por hora</t>
  </si>
  <si>
    <t>Total planificado</t>
  </si>
  <si>
    <t>Gerente de proyectos.</t>
  </si>
  <si>
    <t>Dirección estratégica, planificación, control</t>
  </si>
  <si>
    <t>Desarrollador Frontend</t>
  </si>
  <si>
    <t>Diseño de interfaz para estudiantes y profesores</t>
  </si>
  <si>
    <t>Lógica del sistema, base de datos, seguridad</t>
  </si>
  <si>
    <t>Prototipado, experiencia de usuario</t>
  </si>
  <si>
    <t>Pruebas funcionales, control de calidad</t>
  </si>
  <si>
    <t>Planificación de la entrega, coordinación de pruebas piloto, capacitación a usuarios</t>
  </si>
  <si>
    <t>Coordinador Académico</t>
  </si>
  <si>
    <t>Definición de contenidos y criterios pedagógicos</t>
  </si>
  <si>
    <t>Profesor Líder</t>
  </si>
  <si>
    <t>Validación funcional desde el rol docente</t>
  </si>
  <si>
    <t>Infraestructura Técnica</t>
  </si>
  <si>
    <t>Servidor en la nube</t>
  </si>
  <si>
    <t>Hosting, base de datos, escalabilidad</t>
  </si>
  <si>
    <t>Licencia Android Studio</t>
  </si>
  <si>
    <t>IDE para desarrollo móvil</t>
  </si>
  <si>
    <t>Licencia Ionic / Angular</t>
  </si>
  <si>
    <t>Frameworks y herramientas premium</t>
  </si>
  <si>
    <t>Herramientas de diseño (Figma, Adobe)</t>
  </si>
  <si>
    <t>Prototipado y diseño colaborativo</t>
  </si>
  <si>
    <t>Sistema de tickets / soporte</t>
  </si>
  <si>
    <t>Atención técnica a usuarios</t>
  </si>
  <si>
    <t>Repositorio privado (GitHub, GitLab)</t>
  </si>
  <si>
    <t>Control de versiones y colaboración técnica</t>
  </si>
  <si>
    <t>Administrativo</t>
  </si>
  <si>
    <t>Encuestas y entrevistas</t>
  </si>
  <si>
    <t>Retroalimentación de estudiantes y docentes</t>
  </si>
  <si>
    <t>Reuniones virtuales (Zoom, Teams)</t>
  </si>
  <si>
    <t>Coordinación del equipo</t>
  </si>
  <si>
    <t>Boletines y correos informativos</t>
  </si>
  <si>
    <t>Difusión de avances y novedades</t>
  </si>
  <si>
    <t>Validación y pruebas</t>
  </si>
  <si>
    <t>Pruebas piloto con estudiantes</t>
  </si>
  <si>
    <t>Evaluación funcional desde el usuario fina</t>
  </si>
  <si>
    <t>Pruebas de usabilidad docente</t>
  </si>
  <si>
    <t>Validación de interfaz y funcionalidades</t>
  </si>
  <si>
    <t>Simulación de carga y rendimiento</t>
  </si>
  <si>
    <t>Evaluación técnica de escalabilidad</t>
  </si>
  <si>
    <t xml:space="preserve">Perdidas </t>
  </si>
  <si>
    <t>Total + Imprevistos (10%)+ Descuentos</t>
  </si>
  <si>
    <t>Perdidas</t>
  </si>
  <si>
    <t>Equipo de desarrollo</t>
  </si>
  <si>
    <t>Retrasos en la codificación de módulos clave (gestión académica y usuarios). Retrabajo por inconsistencias en los requerimientos funcionales y fallas al integrar componentes del backend con la base de datos.</t>
  </si>
  <si>
    <t>Infraestructura técnica</t>
  </si>
  <si>
    <t>Costos adicionales por mantener servidores activos sin uso productivo, consumo extra de nube, licencias temporales extendidas y necesidad de soporte técnico adicional.</t>
  </si>
  <si>
    <t>Validación y pruebas (QA)</t>
  </si>
  <si>
    <t>Atrasos en pruebas de rendimiento y correcciones repetidas debido a errores no detectados en los sprints previos. Se amplió el tiempo de testeo y se reprogramaron entregas.</t>
  </si>
  <si>
    <t>Gestión y coordinación administrativa</t>
  </si>
  <si>
    <t>Reuniones adicionales de seguimiento, replanificación de cronogramas, y ajustes en reportes de avance. Impacto en la productividad del equipo por sobrecarga administrativa.</t>
  </si>
  <si>
    <t>Total estimado de pérdida</t>
  </si>
  <si>
    <t>Codigo T</t>
  </si>
  <si>
    <t>Subtotal Planificado</t>
  </si>
  <si>
    <t>Total Planificado</t>
  </si>
  <si>
    <t>Total Real</t>
  </si>
  <si>
    <t>Semana</t>
  </si>
  <si>
    <t>Valor Planificado ($)</t>
  </si>
  <si>
    <t>Costo Real ($)</t>
  </si>
  <si>
    <t>2.1.1. Planeacion</t>
  </si>
  <si>
    <t xml:space="preserve">2.1.1.1 Definición de los requerimientos funcionales y no funcionales del sistema.  </t>
  </si>
  <si>
    <t xml:space="preserve">2.1.1.2 Investigación de referentes. </t>
  </si>
  <si>
    <t>2.1.1.3  Listado de temas críticos en hardware y software</t>
  </si>
  <si>
    <t>2.1.2.1 Diseño de la arquitectura de la plataforma  y diagramas de flujo para interacciones clave.</t>
  </si>
  <si>
    <t>2.1.2.2 Creación de prototipos de interfaz enfocados en usabilidad para estudiantes, con herramientas como Figma.</t>
  </si>
  <si>
    <t>2.1.2.3 Diseño de módulos interactivos</t>
  </si>
  <si>
    <t>2.2.1.1 Desarrollo del frontend con tecnologías web interactivas</t>
  </si>
  <si>
    <t>2.2.1.2 Construcción del backend</t>
  </si>
  <si>
    <t xml:space="preserve">2.2.1.3  Integración de herramientas educativas </t>
  </si>
  <si>
    <t>2.2.1.1 Pruebas unitarias y de integración</t>
  </si>
  <si>
    <t>2.2.1.2 Pruebas de usabilidad con estudiantes reales</t>
  </si>
  <si>
    <t>2.2.1.3 Validación de contenidos con expertos en hardware/software (correctitud técnica y pedagógica).</t>
  </si>
  <si>
    <t>2.3.1.1 Configuración de servidores y despliegue de la plataforma.</t>
  </si>
  <si>
    <t>2.3.1.2 Implementación de CDN y seguridad básica</t>
  </si>
  <si>
    <t>¿</t>
  </si>
  <si>
    <t>2.3.1.3 Actualización periódica de contenidos y tecnologías</t>
  </si>
  <si>
    <t>3. MANTENIMIENTO Y CONTROL</t>
  </si>
  <si>
    <t>T018</t>
  </si>
  <si>
    <t>Configuración de servidores y despliegue</t>
  </si>
  <si>
    <t>T019</t>
  </si>
  <si>
    <t>Implementación de CDN y seguridad básica</t>
  </si>
  <si>
    <t>T020</t>
  </si>
  <si>
    <t>Actualización periódica de contenidos y tecnología</t>
  </si>
  <si>
    <t>Total Proyecto</t>
  </si>
  <si>
    <t>Actividad</t>
  </si>
  <si>
    <t>Presupuestado</t>
  </si>
  <si>
    <t>Costo real</t>
  </si>
  <si>
    <t>Evaluación de Riesgos del Proyecto</t>
  </si>
  <si>
    <t>ID del Proyecto</t>
  </si>
  <si>
    <t xml:space="preserve">Hamilthon Ortega	</t>
  </si>
  <si>
    <t>PRE-MITIGACION</t>
  </si>
  <si>
    <t>POST-MITIGACION</t>
  </si>
  <si>
    <t>REF / ID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</si>
  <si>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</si>
  <si>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</si>
  <si>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</si>
  <si>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</si>
  <si>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</si>
  <si>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</si>
  <si>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Desarrollo de la aplicación</t>
  </si>
  <si>
    <t>Falla técnica (bugs críticos)</t>
  </si>
  <si>
    <t>TOLERABLE</t>
  </si>
  <si>
    <t>POSIBLE</t>
  </si>
  <si>
    <t>HIGH</t>
  </si>
  <si>
    <t>Pruebas unitarias, integrales y revisiones de código</t>
  </si>
  <si>
    <t>MEDIUM</t>
  </si>
  <si>
    <t>YES</t>
  </si>
  <si>
    <t>Planificación del proyecto</t>
  </si>
  <si>
    <t>Retrasos en el cronograma</t>
  </si>
  <si>
    <t>PROBABLE</t>
  </si>
  <si>
    <t>Mejorar estimaciones, asignar recursos extra, seguimiento semanal</t>
  </si>
  <si>
    <t>Capacitación del equipo</t>
  </si>
  <si>
    <t>Falta de conocimientos técnicos</t>
  </si>
  <si>
    <t>INDESEABLE</t>
  </si>
  <si>
    <t>IMPROBABLE</t>
  </si>
  <si>
    <t>Capacitaciones, mentoring y consulta con expertos externos</t>
  </si>
  <si>
    <t>ACEPTABLE</t>
  </si>
  <si>
    <t>LOW</t>
  </si>
  <si>
    <t>Implementación</t>
  </si>
  <si>
    <t>Problemas de compatibilidad</t>
  </si>
  <si>
    <t>EXTREME</t>
  </si>
  <si>
    <t>Pruebas en diferentes dispositivos y navegadores</t>
  </si>
  <si>
    <t>Seguridad de la aplicación</t>
  </si>
  <si>
    <t>Vulnerabilidades de seguridad</t>
  </si>
  <si>
    <t>`</t>
  </si>
  <si>
    <t>Gestión de la información</t>
  </si>
  <si>
    <t>Pérdida de datos</t>
  </si>
  <si>
    <t>Respaldos automáticos, plan de recuperación ante fallos</t>
  </si>
  <si>
    <t>Adopción del sistema</t>
  </si>
  <si>
    <t>Baja aceptación por usuarios</t>
  </si>
  <si>
    <t>Recolectar feedback, mejorar UX y capacitar usuarios</t>
  </si>
  <si>
    <t>Recursos del proyecto</t>
  </si>
  <si>
    <t>Falta de presupuesto o recursos</t>
  </si>
  <si>
    <t>Priorización de funcionalidades críticas y optimización de recursos</t>
  </si>
  <si>
    <t>Gestión del alcance</t>
  </si>
  <si>
    <t>Cambios en requisitos</t>
  </si>
  <si>
    <t>Implementar control de cambios formal y documentar ajustes</t>
  </si>
  <si>
    <t>NO</t>
  </si>
  <si>
    <t>Implementación técnica</t>
  </si>
  <si>
    <t>Problemas de compatibilidad (móviles, navegadores)</t>
  </si>
  <si>
    <t>Pruebas en distintos sistemas operativos, navegadores y dispositivos</t>
  </si>
  <si>
    <t>Gestión de datos y privacidad</t>
  </si>
  <si>
    <t>Fuga o exposición de datos sensibles de los estudiantes</t>
  </si>
  <si>
    <t>Aplicar cifrado, controles de acceso, auditorías de seguridad y copias de respaldo.</t>
  </si>
  <si>
    <t>Uso del sistema por parte de estudiantes y docentes</t>
  </si>
  <si>
    <t>Resistencia al cambio y baja adopción</t>
  </si>
  <si>
    <t>Capacitación, manuales de usuario, soporte técnico inicial, retroalimentación continua.</t>
  </si>
  <si>
    <t>Integración de módulos (notas, matrícula, usuarios)</t>
  </si>
  <si>
    <t>Incompatibilidad entre módulos de la aplicación</t>
  </si>
  <si>
    <t>Realizar pruebas de integración tempranas, usar estándares de interoperabilidad, definir APIs claras.</t>
  </si>
  <si>
    <t>Entregables del proyecto</t>
  </si>
  <si>
    <t>Documentación incompleta</t>
  </si>
  <si>
    <t>Asignar responsable de documentación y revisiones periódicas</t>
  </si>
  <si>
    <t>Infraestructura tecnológica</t>
  </si>
  <si>
    <t>Uso de servidores en la nube con SLA, monitoreo 24/7 y alertas</t>
  </si>
  <si>
    <t>Priorización de funcionalidades críticas, buscar apoyos institucionales</t>
  </si>
  <si>
    <t>POSSIBLE</t>
  </si>
  <si>
    <t>Comunicación del equipo</t>
  </si>
  <si>
    <t>Falta de comunicación entre miembros</t>
  </si>
  <si>
    <t>Reuniones semanales, herramientas colaborativas (Trello, Slack, etc.)</t>
  </si>
  <si>
    <t>MATRIZ DE IMPACTO</t>
  </si>
  <si>
    <t>PROBABILIDAD</t>
  </si>
  <si>
    <t>PORCENTAJE ASIGNADO
(1 al 100%)</t>
  </si>
  <si>
    <t>DISTRIBUCION</t>
  </si>
  <si>
    <t>Falta de presupuesto y recursos</t>
  </si>
  <si>
    <t>Incopatibilidad entre modulos de la apliciacion</t>
  </si>
  <si>
    <t xml:space="preserve">Documentacion incompleta </t>
  </si>
  <si>
    <t>Falta de comunicacion entre miembros</t>
  </si>
  <si>
    <t>IMPACTO</t>
  </si>
  <si>
    <t>PORCENTAJE</t>
  </si>
  <si>
    <t>Bajo</t>
  </si>
  <si>
    <t>Medio</t>
  </si>
  <si>
    <t xml:space="preserve">Alto </t>
  </si>
  <si>
    <t>DISTRIBUCIÒN</t>
  </si>
  <si>
    <t>Clasificación Matriz del Riesgo (Bajo, Medio, Alto), escala 1 al 25</t>
  </si>
  <si>
    <t>Clasificación Probabilidad(Bajo, Medio, Alto) Escala de 1 al 100%</t>
  </si>
  <si>
    <t>PORCENTAJE ASIGNADO DE LA PROBABILIDAD</t>
  </si>
  <si>
    <r>
      <t>Verde</t>
    </r>
    <r>
      <rPr>
        <sz val="11"/>
        <color theme="1"/>
        <rFont val="Calibri"/>
        <family val="2"/>
      </rPr>
      <t>: Riesgo bajo.</t>
    </r>
  </si>
  <si>
    <t>01 al 10</t>
  </si>
  <si>
    <t>01 al 19</t>
  </si>
  <si>
    <t>01 al 49 %</t>
  </si>
  <si>
    <r>
      <t>Amarillo</t>
    </r>
    <r>
      <rPr>
        <sz val="11"/>
        <color theme="1"/>
        <rFont val="Calibri"/>
        <family val="2"/>
      </rPr>
      <t>: Riesgo moderado.</t>
    </r>
  </si>
  <si>
    <t>11 al 15</t>
  </si>
  <si>
    <t>20 al 50</t>
  </si>
  <si>
    <t>50 al 79%</t>
  </si>
  <si>
    <t>Alto</t>
  </si>
  <si>
    <r>
      <t>Rojo</t>
    </r>
    <r>
      <rPr>
        <sz val="11"/>
        <color theme="1"/>
        <rFont val="Calibri"/>
        <family val="2"/>
      </rPr>
      <t>: Riesgo alto o crítico.</t>
    </r>
  </si>
  <si>
    <t>16 al 25</t>
  </si>
  <si>
    <t>51 al 100</t>
  </si>
  <si>
    <t>80 al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</si>
</sst>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\ * #,##0.00_-;\-&quot;$&quot;\ * #,##0.00_-;_-&quot;$&quot;\ * &quot;-&quot;??_-;_-@_-"/>
    <numFmt numFmtId="165" formatCode="_-[$$-240A]\ * #,##0_-;\-[$$-240A]\ * #,##0_-;_-[$$-240A]\ * &quot;-&quot;??_-;_-@_-"/>
    <numFmt numFmtId="166" formatCode="&quot;$&quot;#,##0.00"/>
    <numFmt numFmtId="167" formatCode="&quot;$&quot;#,##0"/>
    <numFmt numFmtId="168" formatCode="m/d/yyyy;@"/>
    <numFmt numFmtId="169" formatCode="m/d;@"/>
    <numFmt numFmtId="170" formatCode="_([$$-409]* #,##0.00_);_([$$-409]* \(#,##0.00\);_([$$-409]* &quot;-&quot;??_);_(@_)"/>
    <numFmt numFmtId="171" formatCode="&quot;$&quot;\ #,##0;[Red]\-&quot;$&quot;\ #,##0"/>
  </numFmts>
  <fonts count="100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</font>
    <font>
      <b/>
      <sz val="22"/>
      <color theme="1"/>
      <name val="Calibri"/>
      <family val="2"/>
    </font>
    <font>
      <b/>
      <sz val="22"/>
      <color rgb="FF808000"/>
      <name val="Arial"/>
      <family val="2"/>
    </font>
    <font>
      <b/>
      <sz val="18"/>
      <color theme="0"/>
      <name val="Calibri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6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36363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63636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sz val="12"/>
      <color theme="0"/>
      <name val="Times New Roman"/>
      <family val="1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2"/>
      <color theme="1"/>
      <name val="Quote-Cjk-Patch"/>
      <charset val="1"/>
    </font>
    <font>
      <sz val="12"/>
      <color rgb="FF000000"/>
      <name val="Quote-Cjk-Patch"/>
      <charset val="1"/>
    </font>
    <font>
      <b/>
      <sz val="11"/>
      <color theme="1"/>
      <name val="Arial"/>
    </font>
    <font>
      <sz val="11"/>
      <color theme="1"/>
      <name val="Calibri"/>
    </font>
    <font>
      <b/>
      <sz val="14"/>
      <color theme="0"/>
      <name val="Arial"/>
    </font>
    <font>
      <sz val="11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22"/>
      <color rgb="FF808000"/>
      <name val="Arial"/>
    </font>
    <font>
      <b/>
      <sz val="16"/>
      <color theme="1"/>
      <name val="Calibri"/>
    </font>
    <font>
      <sz val="8"/>
      <name val="Arial"/>
    </font>
    <font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0" tint="-0.499984740745262"/>
      <name val="Century Gothic"/>
      <family val="1"/>
    </font>
    <font>
      <sz val="11"/>
      <color theme="1"/>
      <name val="Century Gothic"/>
      <family val="1"/>
    </font>
    <font>
      <sz val="10"/>
      <color rgb="FF595959"/>
      <name val="Century Gothic"/>
      <family val="1"/>
    </font>
    <font>
      <sz val="16"/>
      <color theme="1"/>
      <name val="Century Gothic"/>
      <family val="1"/>
    </font>
    <font>
      <sz val="12"/>
      <color theme="0"/>
      <name val="Century Gothic"/>
      <family val="1"/>
    </font>
    <font>
      <sz val="14"/>
      <color theme="0"/>
      <name val="Century Gothic"/>
      <family val="1"/>
    </font>
    <font>
      <sz val="11"/>
      <color rgb="FF000000"/>
      <name val="Century Gothic"/>
      <family val="1"/>
    </font>
    <font>
      <b/>
      <sz val="26"/>
      <color rgb="FF001033"/>
      <name val="Century Gothic"/>
      <family val="1"/>
    </font>
    <font>
      <sz val="12"/>
      <color theme="1"/>
      <name val="Century Gothic"/>
      <family val="1"/>
    </font>
    <font>
      <sz val="14"/>
      <color theme="1"/>
      <name val="Century Gothic"/>
      <family val="1"/>
    </font>
    <font>
      <sz val="10"/>
      <color rgb="FF000000"/>
      <name val="Century Gothic"/>
      <family val="1"/>
    </font>
    <font>
      <b/>
      <sz val="2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b/>
      <u/>
      <sz val="22"/>
      <color theme="0"/>
      <name val="Century Gothic"/>
      <family val="1"/>
    </font>
    <font>
      <sz val="22"/>
      <color theme="1" tint="0.34998626667073579"/>
      <name val="Century Gothic"/>
      <family val="1"/>
    </font>
    <font>
      <b/>
      <sz val="20"/>
      <color theme="0" tint="-0.499984740745262"/>
      <name val="Century Gothic"/>
      <family val="1"/>
    </font>
    <font>
      <sz val="12"/>
      <color rgb="FF000000"/>
      <name val="Century Gothic"/>
      <family val="1"/>
    </font>
    <font>
      <b/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12"/>
      <color rgb="FF000000"/>
      <name val="Century Gothic"/>
      <family val="1"/>
    </font>
    <font>
      <sz val="11"/>
      <color indexed="8"/>
      <name val="Century Gothic"/>
      <family val="1"/>
    </font>
    <font>
      <u/>
      <sz val="11"/>
      <color theme="10"/>
      <name val="Arial"/>
    </font>
    <font>
      <b/>
      <sz val="12"/>
      <color rgb="FF000000"/>
      <name val="Arial"/>
    </font>
    <font>
      <sz val="12"/>
      <color theme="7" tint="0.39997558519241921"/>
      <name val="Times New Roman"/>
      <family val="1"/>
    </font>
    <font>
      <b/>
      <sz val="12"/>
      <color rgb="FF363636"/>
      <name val="Arial"/>
      <family val="18"/>
    </font>
    <font>
      <b/>
      <sz val="12"/>
      <color rgb="FF000000"/>
      <name val="Arial"/>
      <family val="18"/>
    </font>
    <font>
      <sz val="12"/>
      <color rgb="FF000000"/>
      <name val="Arial"/>
      <family val="18"/>
    </font>
    <font>
      <sz val="12"/>
      <color theme="1"/>
      <name val="Arial"/>
      <family val="18"/>
    </font>
    <font>
      <sz val="11"/>
      <color theme="1"/>
      <name val="Arial"/>
      <family val="18"/>
    </font>
    <font>
      <b/>
      <sz val="11"/>
      <color theme="1"/>
      <name val="Arial"/>
      <family val="18"/>
    </font>
    <font>
      <sz val="12"/>
      <color theme="0"/>
      <name val="Arial"/>
      <family val="18"/>
    </font>
    <font>
      <b/>
      <sz val="12"/>
      <color theme="1"/>
      <name val="Arial"/>
      <family val="18"/>
    </font>
    <font>
      <b/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rgb="FF242424"/>
      <name val="Calibri"/>
    </font>
    <font>
      <sz val="10"/>
      <color theme="1"/>
      <name val="Calibri"/>
    </font>
    <font>
      <b/>
      <sz val="11"/>
      <name val="Calibri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9"/>
      <color theme="1"/>
      <name val="Century Gothic"/>
      <family val="1"/>
    </font>
    <font>
      <b/>
      <sz val="10"/>
      <color theme="0"/>
      <name val="Century Gothic"/>
      <family val="1"/>
    </font>
    <font>
      <b/>
      <sz val="9"/>
      <color indexed="8"/>
      <name val="Century Gothic"/>
      <family val="2"/>
    </font>
    <font>
      <b/>
      <sz val="22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rgb="FF363636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Century Gothic"/>
    </font>
  </fonts>
  <fills count="72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theme="4" tint="0.39997558519241921"/>
        <bgColor rgb="FFDFE3E8"/>
      </patternFill>
    </fill>
    <fill>
      <patternFill patternType="solid">
        <fgColor theme="4" tint="0.59999389629810485"/>
        <bgColor rgb="FFE7E6E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4"/>
        <bgColor rgb="FFD6DCE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E7E6E6"/>
      </patternFill>
    </fill>
    <fill>
      <patternFill patternType="solid">
        <fgColor theme="8" tint="0.59999389629810485"/>
        <bgColor rgb="FFE7E6E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E7E6E6"/>
      </patternFill>
    </fill>
    <fill>
      <patternFill patternType="solid">
        <fgColor theme="4" tint="-0.499984740745262"/>
        <b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rgb="FFE7E6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AF3"/>
        <bgColor indexed="64"/>
      </patternFill>
    </fill>
    <fill>
      <patternFill patternType="solid">
        <fgColor rgb="FFFFF6E7"/>
        <bgColor indexed="64"/>
      </patternFill>
    </fill>
    <fill>
      <patternFill patternType="solid">
        <fgColor rgb="FFFFF1D5"/>
        <bgColor indexed="64"/>
      </patternFill>
    </fill>
    <fill>
      <patternFill patternType="solid">
        <fgColor rgb="FFFFEBC6"/>
        <bgColor indexed="64"/>
      </patternFill>
    </fill>
    <fill>
      <patternFill patternType="solid">
        <fgColor rgb="FFFFEBB8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FFB5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6A49E"/>
        <bgColor rgb="FF2E75B5"/>
      </patternFill>
    </fill>
    <fill>
      <patternFill patternType="solid">
        <fgColor rgb="FFF6A49E"/>
        <bgColor rgb="FFD0CECE"/>
      </patternFill>
    </fill>
    <fill>
      <patternFill patternType="solid">
        <fgColor theme="0"/>
        <bgColor rgb="FFDEEAF6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BC2E6"/>
        <bgColor rgb="FFDFE3E8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E7E6E6"/>
      </patternFill>
    </fill>
    <fill>
      <patternFill patternType="solid">
        <fgColor rgb="FFB4C6E7"/>
        <bgColor rgb="FFE7E6E6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F2F2F2"/>
      </patternFill>
    </fill>
    <fill>
      <patternFill patternType="solid">
        <fgColor rgb="FFFFFFFF"/>
        <bgColor rgb="FFE7E6E6"/>
      </patternFill>
    </fill>
    <fill>
      <patternFill patternType="solid">
        <fgColor rgb="FFFFFFFF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2F75B5"/>
        <bgColor rgb="FF000000"/>
      </patternFill>
    </fill>
  </fills>
  <borders count="16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/>
      <top style="thick">
        <color theme="6" tint="-0.249977111117893"/>
      </top>
      <bottom/>
      <diagonal/>
    </border>
    <border>
      <left/>
      <right style="thin">
        <color theme="0" tint="-0.249977111117893"/>
      </right>
      <top style="thick">
        <color theme="6" tint="-0.249977111117893"/>
      </top>
      <bottom/>
      <diagonal/>
    </border>
    <border>
      <left style="thin">
        <color theme="0" tint="-0.249977111117893"/>
      </left>
      <right/>
      <top style="thick">
        <color theme="7" tint="-0.249977111117893"/>
      </top>
      <bottom/>
      <diagonal/>
    </border>
    <border>
      <left/>
      <right/>
      <top style="thick">
        <color theme="7" tint="-0.249977111117893"/>
      </top>
      <bottom/>
      <diagonal/>
    </border>
    <border>
      <left/>
      <right style="medium">
        <color theme="0" tint="-0.249977111117893"/>
      </right>
      <top style="thick">
        <color theme="7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3" tint="0.399975585192419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2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7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7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ck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25" fillId="0" borderId="0" applyFont="0" applyFill="0" applyBorder="0" applyAlignment="0" applyProtection="0"/>
    <xf numFmtId="0" fontId="54" fillId="0" borderId="46" applyNumberFormat="0" applyFill="0" applyBorder="0" applyAlignment="0" applyProtection="0"/>
    <xf numFmtId="0" fontId="19" fillId="0" borderId="46"/>
    <xf numFmtId="0" fontId="63" fillId="0" borderId="0" applyNumberFormat="0" applyFill="0" applyBorder="0" applyAlignment="0" applyProtection="0"/>
  </cellStyleXfs>
  <cellXfs count="844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5" fillId="3" borderId="6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9" fillId="0" borderId="0" xfId="0" applyFont="1" applyAlignment="1">
      <alignment horizontal="center" vertical="center"/>
    </xf>
    <xf numFmtId="0" fontId="4" fillId="0" borderId="0" xfId="0" applyFont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6" xfId="0" applyFont="1" applyBorder="1"/>
    <xf numFmtId="0" fontId="2" fillId="0" borderId="6" xfId="0" applyFont="1" applyBorder="1"/>
    <xf numFmtId="0" fontId="4" fillId="0" borderId="6" xfId="0" applyFont="1" applyBorder="1"/>
    <xf numFmtId="0" fontId="2" fillId="0" borderId="42" xfId="0" applyFont="1" applyBorder="1"/>
    <xf numFmtId="0" fontId="6" fillId="0" borderId="42" xfId="0" applyFont="1" applyBorder="1" applyAlignment="1">
      <alignment horizontal="center" vertical="center" wrapText="1"/>
    </xf>
    <xf numFmtId="0" fontId="11" fillId="0" borderId="0" xfId="0" applyFont="1"/>
    <xf numFmtId="0" fontId="7" fillId="0" borderId="0" xfId="0" applyFont="1"/>
    <xf numFmtId="0" fontId="12" fillId="0" borderId="0" xfId="0" applyFont="1"/>
    <xf numFmtId="2" fontId="2" fillId="0" borderId="0" xfId="0" applyNumberFormat="1" applyFont="1"/>
    <xf numFmtId="0" fontId="13" fillId="6" borderId="6" xfId="0" applyFont="1" applyFill="1" applyBorder="1" applyAlignment="1">
      <alignment horizontal="left" vertical="center" wrapText="1" readingOrder="1"/>
    </xf>
    <xf numFmtId="3" fontId="16" fillId="13" borderId="47" xfId="0" applyNumberFormat="1" applyFont="1" applyFill="1" applyBorder="1" applyAlignment="1">
      <alignment horizontal="center" wrapText="1" readingOrder="1"/>
    </xf>
    <xf numFmtId="0" fontId="16" fillId="13" borderId="47" xfId="0" applyFont="1" applyFill="1" applyBorder="1" applyAlignment="1">
      <alignment horizontal="center" vertical="center" wrapText="1" readingOrder="1"/>
    </xf>
    <xf numFmtId="0" fontId="17" fillId="7" borderId="47" xfId="0" applyFont="1" applyFill="1" applyBorder="1" applyAlignment="1">
      <alignment horizontal="left" vertical="center" wrapText="1" readingOrder="1"/>
    </xf>
    <xf numFmtId="0" fontId="17" fillId="7" borderId="47" xfId="0" applyFont="1" applyFill="1" applyBorder="1" applyAlignment="1">
      <alignment horizontal="center" vertical="center" wrapText="1" readingOrder="1"/>
    </xf>
    <xf numFmtId="3" fontId="16" fillId="7" borderId="47" xfId="0" applyNumberFormat="1" applyFont="1" applyFill="1" applyBorder="1" applyAlignment="1">
      <alignment horizontal="center" wrapText="1" readingOrder="1"/>
    </xf>
    <xf numFmtId="0" fontId="17" fillId="8" borderId="47" xfId="0" applyFont="1" applyFill="1" applyBorder="1" applyAlignment="1">
      <alignment horizontal="center" vertical="center" wrapText="1" readingOrder="1"/>
    </xf>
    <xf numFmtId="0" fontId="16" fillId="7" borderId="47" xfId="0" applyFont="1" applyFill="1" applyBorder="1" applyAlignment="1">
      <alignment horizontal="center" vertical="center" wrapText="1" readingOrder="1"/>
    </xf>
    <xf numFmtId="3" fontId="17" fillId="7" borderId="47" xfId="0" applyNumberFormat="1" applyFont="1" applyFill="1" applyBorder="1" applyAlignment="1">
      <alignment horizontal="center" wrapText="1" readingOrder="1"/>
    </xf>
    <xf numFmtId="0" fontId="16" fillId="6" borderId="47" xfId="0" applyFont="1" applyFill="1" applyBorder="1" applyAlignment="1">
      <alignment horizontal="left" vertical="center" wrapText="1" readingOrder="1"/>
    </xf>
    <xf numFmtId="0" fontId="17" fillId="10" borderId="47" xfId="0" applyFont="1" applyFill="1" applyBorder="1" applyAlignment="1">
      <alignment horizontal="left" vertical="center" wrapText="1" readingOrder="1"/>
    </xf>
    <xf numFmtId="0" fontId="17" fillId="11" borderId="47" xfId="0" applyFont="1" applyFill="1" applyBorder="1" applyAlignment="1">
      <alignment horizontal="center" vertical="center" wrapText="1" readingOrder="1"/>
    </xf>
    <xf numFmtId="0" fontId="18" fillId="5" borderId="47" xfId="0" applyFont="1" applyFill="1" applyBorder="1" applyAlignment="1">
      <alignment horizontal="center" vertical="center" wrapText="1" readingOrder="1"/>
    </xf>
    <xf numFmtId="0" fontId="17" fillId="8" borderId="47" xfId="0" applyFont="1" applyFill="1" applyBorder="1" applyAlignment="1">
      <alignment horizontal="left" vertical="center" wrapText="1" readingOrder="1"/>
    </xf>
    <xf numFmtId="0" fontId="13" fillId="8" borderId="6" xfId="0" applyFont="1" applyFill="1" applyBorder="1" applyAlignment="1">
      <alignment horizontal="left" vertical="center" wrapText="1" readingOrder="1"/>
    </xf>
    <xf numFmtId="0" fontId="16" fillId="8" borderId="47" xfId="0" applyFont="1" applyFill="1" applyBorder="1" applyAlignment="1">
      <alignment horizontal="center" vertical="center" wrapText="1" readingOrder="1"/>
    </xf>
    <xf numFmtId="0" fontId="17" fillId="9" borderId="47" xfId="0" applyFont="1" applyFill="1" applyBorder="1" applyAlignment="1">
      <alignment horizontal="center" vertical="center" wrapText="1" readingOrder="1"/>
    </xf>
    <xf numFmtId="1" fontId="14" fillId="9" borderId="6" xfId="0" applyNumberFormat="1" applyFont="1" applyFill="1" applyBorder="1" applyAlignment="1">
      <alignment horizontal="right" vertical="center" wrapText="1" readingOrder="1"/>
    </xf>
    <xf numFmtId="0" fontId="13" fillId="6" borderId="44" xfId="0" applyFont="1" applyFill="1" applyBorder="1" applyAlignment="1">
      <alignment horizontal="left" vertical="center" wrapText="1" readingOrder="1"/>
    </xf>
    <xf numFmtId="1" fontId="13" fillId="0" borderId="6" xfId="0" applyNumberFormat="1" applyFont="1" applyBorder="1" applyAlignment="1">
      <alignment horizontal="right" vertical="center" wrapText="1" readingOrder="1"/>
    </xf>
    <xf numFmtId="1" fontId="13" fillId="8" borderId="6" xfId="0" applyNumberFormat="1" applyFont="1" applyFill="1" applyBorder="1" applyAlignment="1">
      <alignment horizontal="right" vertical="center" wrapText="1" readingOrder="1"/>
    </xf>
    <xf numFmtId="3" fontId="16" fillId="9" borderId="47" xfId="0" applyNumberFormat="1" applyFont="1" applyFill="1" applyBorder="1" applyAlignment="1">
      <alignment horizontal="center" wrapText="1" readingOrder="1"/>
    </xf>
    <xf numFmtId="1" fontId="16" fillId="15" borderId="47" xfId="0" applyNumberFormat="1" applyFont="1" applyFill="1" applyBorder="1" applyAlignment="1">
      <alignment horizontal="center" wrapText="1" readingOrder="1"/>
    </xf>
    <xf numFmtId="0" fontId="16" fillId="6" borderId="47" xfId="0" applyFont="1" applyFill="1" applyBorder="1" applyAlignment="1">
      <alignment horizontal="center" vertical="center" wrapText="1" readingOrder="1"/>
    </xf>
    <xf numFmtId="1" fontId="16" fillId="12" borderId="47" xfId="0" applyNumberFormat="1" applyFont="1" applyFill="1" applyBorder="1" applyAlignment="1">
      <alignment horizontal="center" wrapText="1" readingOrder="1"/>
    </xf>
    <xf numFmtId="1" fontId="16" fillId="13" borderId="47" xfId="0" applyNumberFormat="1" applyFont="1" applyFill="1" applyBorder="1" applyAlignment="1">
      <alignment horizontal="center" vertical="center" wrapText="1" readingOrder="1"/>
    </xf>
    <xf numFmtId="1" fontId="13" fillId="15" borderId="6" xfId="0" applyNumberFormat="1" applyFont="1" applyFill="1" applyBorder="1" applyAlignment="1">
      <alignment horizontal="right" vertical="center" wrapText="1" readingOrder="1"/>
    </xf>
    <xf numFmtId="0" fontId="10" fillId="3" borderId="46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0" fillId="0" borderId="46" xfId="0" applyBorder="1"/>
    <xf numFmtId="0" fontId="22" fillId="8" borderId="54" xfId="0" applyFont="1" applyFill="1" applyBorder="1" applyAlignment="1">
      <alignment horizontal="left" vertical="center" wrapText="1" readingOrder="1"/>
    </xf>
    <xf numFmtId="1" fontId="22" fillId="0" borderId="54" xfId="0" applyNumberFormat="1" applyFont="1" applyBorder="1" applyAlignment="1">
      <alignment horizontal="right" vertical="center" wrapText="1" readingOrder="1"/>
    </xf>
    <xf numFmtId="1" fontId="22" fillId="8" borderId="54" xfId="0" applyNumberFormat="1" applyFont="1" applyFill="1" applyBorder="1" applyAlignment="1">
      <alignment horizontal="right" vertical="center" wrapText="1" readingOrder="1"/>
    </xf>
    <xf numFmtId="0" fontId="21" fillId="0" borderId="0" xfId="0" applyFont="1"/>
    <xf numFmtId="0" fontId="24" fillId="0" borderId="0" xfId="0" applyFont="1"/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1" fillId="0" borderId="47" xfId="0" applyNumberFormat="1" applyFont="1" applyBorder="1" applyAlignment="1">
      <alignment horizontal="left"/>
    </xf>
    <xf numFmtId="0" fontId="27" fillId="20" borderId="0" xfId="0" applyFont="1" applyFill="1"/>
    <xf numFmtId="0" fontId="0" fillId="8" borderId="0" xfId="0" applyFill="1"/>
    <xf numFmtId="0" fontId="27" fillId="8" borderId="0" xfId="0" applyFont="1" applyFill="1"/>
    <xf numFmtId="0" fontId="21" fillId="0" borderId="46" xfId="0" applyFont="1" applyBorder="1"/>
    <xf numFmtId="0" fontId="0" fillId="8" borderId="46" xfId="0" applyFill="1" applyBorder="1"/>
    <xf numFmtId="0" fontId="27" fillId="8" borderId="46" xfId="0" applyFont="1" applyFill="1" applyBorder="1"/>
    <xf numFmtId="0" fontId="0" fillId="23" borderId="0" xfId="0" applyFill="1"/>
    <xf numFmtId="0" fontId="27" fillId="23" borderId="0" xfId="0" applyFont="1" applyFill="1"/>
    <xf numFmtId="0" fontId="28" fillId="23" borderId="0" xfId="0" applyFont="1" applyFill="1"/>
    <xf numFmtId="0" fontId="0" fillId="19" borderId="0" xfId="0" applyFill="1"/>
    <xf numFmtId="0" fontId="0" fillId="16" borderId="0" xfId="0" applyFill="1"/>
    <xf numFmtId="0" fontId="10" fillId="16" borderId="0" xfId="0" applyFont="1" applyFill="1" applyAlignment="1">
      <alignment horizontal="right"/>
    </xf>
    <xf numFmtId="0" fontId="20" fillId="5" borderId="49" xfId="0" applyFont="1" applyFill="1" applyBorder="1" applyAlignment="1">
      <alignment horizontal="center" vertical="center" wrapText="1" readingOrder="1"/>
    </xf>
    <xf numFmtId="0" fontId="23" fillId="0" borderId="6" xfId="0" applyFont="1" applyBorder="1" applyAlignment="1">
      <alignment horizontal="left" vertical="center" wrapText="1" readingOrder="1"/>
    </xf>
    <xf numFmtId="14" fontId="23" fillId="0" borderId="6" xfId="0" applyNumberFormat="1" applyFont="1" applyBorder="1" applyAlignment="1">
      <alignment horizontal="left" vertical="center" wrapText="1" readingOrder="1"/>
    </xf>
    <xf numFmtId="0" fontId="23" fillId="0" borderId="6" xfId="0" applyFont="1" applyBorder="1" applyAlignment="1">
      <alignment horizontal="center" vertical="center" wrapText="1"/>
    </xf>
    <xf numFmtId="165" fontId="23" fillId="0" borderId="6" xfId="0" applyNumberFormat="1" applyFont="1" applyBorder="1" applyAlignment="1">
      <alignment horizontal="center" vertical="center" wrapText="1" readingOrder="1"/>
    </xf>
    <xf numFmtId="14" fontId="23" fillId="8" borderId="6" xfId="0" applyNumberFormat="1" applyFont="1" applyFill="1" applyBorder="1" applyAlignment="1">
      <alignment horizontal="left" vertical="center" wrapText="1" readingOrder="1"/>
    </xf>
    <xf numFmtId="165" fontId="23" fillId="0" borderId="6" xfId="0" applyNumberFormat="1" applyFont="1" applyBorder="1" applyAlignment="1">
      <alignment horizontal="right" vertical="center" wrapText="1" readingOrder="1"/>
    </xf>
    <xf numFmtId="0" fontId="26" fillId="20" borderId="6" xfId="0" applyFont="1" applyFill="1" applyBorder="1" applyAlignment="1">
      <alignment horizontal="left" vertical="center" wrapText="1" readingOrder="1"/>
    </xf>
    <xf numFmtId="0" fontId="26" fillId="21" borderId="6" xfId="0" applyFont="1" applyFill="1" applyBorder="1" applyAlignment="1">
      <alignment horizontal="center" vertical="center" wrapText="1"/>
    </xf>
    <xf numFmtId="165" fontId="26" fillId="21" borderId="6" xfId="1" applyNumberFormat="1" applyFont="1" applyFill="1" applyBorder="1" applyAlignment="1">
      <alignment horizontal="center" vertical="center" wrapText="1" readingOrder="1"/>
    </xf>
    <xf numFmtId="0" fontId="23" fillId="7" borderId="6" xfId="0" applyFont="1" applyFill="1" applyBorder="1" applyAlignment="1">
      <alignment horizontal="left" vertical="center" wrapText="1" readingOrder="1"/>
    </xf>
    <xf numFmtId="14" fontId="23" fillId="7" borderId="6" xfId="0" applyNumberFormat="1" applyFont="1" applyFill="1" applyBorder="1" applyAlignment="1">
      <alignment horizontal="left" vertical="center" wrapText="1" readingOrder="1"/>
    </xf>
    <xf numFmtId="0" fontId="23" fillId="9" borderId="6" xfId="0" applyFont="1" applyFill="1" applyBorder="1" applyAlignment="1">
      <alignment horizontal="center" vertical="center" wrapText="1"/>
    </xf>
    <xf numFmtId="165" fontId="23" fillId="9" borderId="6" xfId="1" applyNumberFormat="1" applyFont="1" applyFill="1" applyBorder="1" applyAlignment="1">
      <alignment horizontal="center" vertical="center" wrapText="1" readingOrder="1"/>
    </xf>
    <xf numFmtId="0" fontId="23" fillId="0" borderId="6" xfId="0" applyFont="1" applyBorder="1" applyAlignment="1">
      <alignment vertical="center" wrapText="1"/>
    </xf>
    <xf numFmtId="0" fontId="26" fillId="22" borderId="6" xfId="0" applyFont="1" applyFill="1" applyBorder="1" applyAlignment="1">
      <alignment horizontal="left" vertical="center" wrapText="1" readingOrder="1"/>
    </xf>
    <xf numFmtId="0" fontId="29" fillId="0" borderId="6" xfId="0" applyFont="1" applyBorder="1" applyAlignment="1">
      <alignment wrapText="1"/>
    </xf>
    <xf numFmtId="0" fontId="30" fillId="0" borderId="6" xfId="0" applyFont="1" applyBorder="1" applyAlignment="1">
      <alignment wrapText="1"/>
    </xf>
    <xf numFmtId="0" fontId="23" fillId="7" borderId="6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24" fillId="0" borderId="46" xfId="0" applyFont="1" applyBorder="1"/>
    <xf numFmtId="166" fontId="2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4" fontId="23" fillId="7" borderId="44" xfId="0" applyNumberFormat="1" applyFont="1" applyFill="1" applyBorder="1" applyAlignment="1">
      <alignment horizontal="left" vertical="center" wrapText="1" readingOrder="1"/>
    </xf>
    <xf numFmtId="165" fontId="23" fillId="9" borderId="44" xfId="1" applyNumberFormat="1" applyFont="1" applyFill="1" applyBorder="1" applyAlignment="1">
      <alignment horizontal="center" vertical="center" wrapText="1" readingOrder="1"/>
    </xf>
    <xf numFmtId="0" fontId="23" fillId="7" borderId="54" xfId="0" applyFont="1" applyFill="1" applyBorder="1" applyAlignment="1">
      <alignment horizontal="left" vertical="center" wrapText="1" readingOrder="1"/>
    </xf>
    <xf numFmtId="14" fontId="23" fillId="7" borderId="54" xfId="0" applyNumberFormat="1" applyFont="1" applyFill="1" applyBorder="1" applyAlignment="1">
      <alignment horizontal="left" vertical="center" wrapText="1" readingOrder="1"/>
    </xf>
    <xf numFmtId="0" fontId="23" fillId="9" borderId="54" xfId="0" applyFont="1" applyFill="1" applyBorder="1" applyAlignment="1">
      <alignment horizontal="center" vertical="center" wrapText="1"/>
    </xf>
    <xf numFmtId="165" fontId="23" fillId="9" borderId="54" xfId="1" applyNumberFormat="1" applyFont="1" applyFill="1" applyBorder="1" applyAlignment="1">
      <alignment horizontal="center" vertical="center" wrapText="1" readingOrder="1"/>
    </xf>
    <xf numFmtId="0" fontId="30" fillId="0" borderId="44" xfId="0" applyFont="1" applyBorder="1" applyAlignment="1">
      <alignment wrapText="1"/>
    </xf>
    <xf numFmtId="0" fontId="23" fillId="7" borderId="44" xfId="0" applyFont="1" applyFill="1" applyBorder="1" applyAlignment="1">
      <alignment horizontal="center" vertical="center" wrapText="1"/>
    </xf>
    <xf numFmtId="0" fontId="23" fillId="0" borderId="44" xfId="0" applyFont="1" applyBorder="1" applyAlignment="1">
      <alignment horizontal="left" vertical="center" wrapText="1" readingOrder="1"/>
    </xf>
    <xf numFmtId="14" fontId="23" fillId="0" borderId="44" xfId="0" applyNumberFormat="1" applyFont="1" applyBorder="1" applyAlignment="1">
      <alignment horizontal="left" vertical="center" wrapText="1" readingOrder="1"/>
    </xf>
    <xf numFmtId="0" fontId="23" fillId="0" borderId="44" xfId="0" applyFont="1" applyBorder="1" applyAlignment="1">
      <alignment horizontal="center" vertical="center" wrapText="1"/>
    </xf>
    <xf numFmtId="165" fontId="23" fillId="0" borderId="44" xfId="0" applyNumberFormat="1" applyFont="1" applyBorder="1" applyAlignment="1">
      <alignment horizontal="center" vertical="center" wrapText="1" readingOrder="1"/>
    </xf>
    <xf numFmtId="0" fontId="0" fillId="24" borderId="46" xfId="0" applyFill="1" applyBorder="1"/>
    <xf numFmtId="165" fontId="23" fillId="0" borderId="6" xfId="1" applyNumberFormat="1" applyFont="1" applyFill="1" applyBorder="1" applyAlignment="1">
      <alignment horizontal="center" vertical="center" wrapText="1" readingOrder="1"/>
    </xf>
    <xf numFmtId="165" fontId="23" fillId="0" borderId="54" xfId="1" applyNumberFormat="1" applyFont="1" applyFill="1" applyBorder="1" applyAlignment="1">
      <alignment horizontal="center" vertical="center" wrapText="1" readingOrder="1"/>
    </xf>
    <xf numFmtId="0" fontId="20" fillId="5" borderId="55" xfId="0" applyFont="1" applyFill="1" applyBorder="1" applyAlignment="1">
      <alignment horizontal="center" vertical="center" wrapText="1" readingOrder="1"/>
    </xf>
    <xf numFmtId="168" fontId="22" fillId="8" borderId="46" xfId="0" applyNumberFormat="1" applyFont="1" applyFill="1" applyBorder="1" applyAlignment="1">
      <alignment horizontal="left" vertical="center" wrapText="1" readingOrder="1"/>
    </xf>
    <xf numFmtId="1" fontId="22" fillId="8" borderId="48" xfId="0" applyNumberFormat="1" applyFont="1" applyFill="1" applyBorder="1" applyAlignment="1">
      <alignment horizontal="center" vertical="center" wrapText="1"/>
    </xf>
    <xf numFmtId="0" fontId="28" fillId="23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0" fillId="8" borderId="0" xfId="0" applyFill="1" applyAlignment="1">
      <alignment horizontal="right"/>
    </xf>
    <xf numFmtId="0" fontId="0" fillId="19" borderId="0" xfId="0" applyFill="1" applyAlignment="1">
      <alignment horizontal="right"/>
    </xf>
    <xf numFmtId="0" fontId="31" fillId="19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0" fillId="19" borderId="0" xfId="0" applyFont="1" applyFill="1" applyAlignment="1">
      <alignment horizontal="right"/>
    </xf>
    <xf numFmtId="0" fontId="0" fillId="23" borderId="0" xfId="0" applyFill="1" applyAlignment="1">
      <alignment horizontal="right"/>
    </xf>
    <xf numFmtId="14" fontId="0" fillId="8" borderId="0" xfId="0" applyNumberFormat="1" applyFill="1" applyAlignment="1">
      <alignment horizontal="right"/>
    </xf>
    <xf numFmtId="14" fontId="0" fillId="0" borderId="0" xfId="0" applyNumberFormat="1" applyAlignment="1">
      <alignment horizontal="right"/>
    </xf>
    <xf numFmtId="0" fontId="32" fillId="25" borderId="6" xfId="0" applyFont="1" applyFill="1" applyBorder="1"/>
    <xf numFmtId="0" fontId="32" fillId="25" borderId="6" xfId="0" applyFont="1" applyFill="1" applyBorder="1" applyAlignment="1">
      <alignment horizontal="center"/>
    </xf>
    <xf numFmtId="3" fontId="32" fillId="0" borderId="6" xfId="0" applyNumberFormat="1" applyFont="1" applyBorder="1"/>
    <xf numFmtId="0" fontId="35" fillId="0" borderId="5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6" fillId="3" borderId="5" xfId="0" applyFont="1" applyFill="1" applyBorder="1" applyAlignment="1">
      <alignment horizontal="center" vertical="center" wrapText="1"/>
    </xf>
    <xf numFmtId="0" fontId="36" fillId="3" borderId="6" xfId="0" applyFont="1" applyFill="1" applyBorder="1" applyAlignment="1">
      <alignment horizontal="center" vertical="center" wrapText="1"/>
    </xf>
    <xf numFmtId="14" fontId="36" fillId="3" borderId="6" xfId="0" applyNumberFormat="1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2" fillId="0" borderId="0" xfId="0" applyFont="1"/>
    <xf numFmtId="0" fontId="32" fillId="0" borderId="42" xfId="0" applyFont="1" applyBorder="1" applyAlignment="1">
      <alignment vertical="center" wrapText="1"/>
    </xf>
    <xf numFmtId="0" fontId="32" fillId="0" borderId="6" xfId="0" applyFont="1" applyBorder="1" applyAlignment="1">
      <alignment vertical="center" wrapText="1"/>
    </xf>
    <xf numFmtId="0" fontId="32" fillId="0" borderId="26" xfId="0" applyFont="1" applyBorder="1" applyAlignment="1">
      <alignment vertical="center" wrapText="1"/>
    </xf>
    <xf numFmtId="1" fontId="22" fillId="8" borderId="45" xfId="0" applyNumberFormat="1" applyFont="1" applyFill="1" applyBorder="1" applyAlignment="1">
      <alignment horizontal="right" vertical="center" wrapText="1" readingOrder="1"/>
    </xf>
    <xf numFmtId="1" fontId="22" fillId="8" borderId="21" xfId="0" applyNumberFormat="1" applyFont="1" applyFill="1" applyBorder="1" applyAlignment="1">
      <alignment horizontal="right" vertical="center" wrapText="1" readingOrder="1"/>
    </xf>
    <xf numFmtId="0" fontId="40" fillId="0" borderId="0" xfId="0" applyFont="1" applyAlignment="1">
      <alignment horizontal="left" vertical="center" wrapText="1" indent="1"/>
    </xf>
    <xf numFmtId="0" fontId="41" fillId="8" borderId="0" xfId="0" applyFont="1" applyFill="1" applyAlignment="1">
      <alignment vertical="center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3" fillId="26" borderId="69" xfId="0" applyFont="1" applyFill="1" applyBorder="1" applyAlignment="1">
      <alignment horizontal="left" textRotation="60" wrapText="1"/>
    </xf>
    <xf numFmtId="0" fontId="43" fillId="26" borderId="70" xfId="0" applyFont="1" applyFill="1" applyBorder="1" applyAlignment="1">
      <alignment horizontal="center" textRotation="60"/>
    </xf>
    <xf numFmtId="0" fontId="44" fillId="0" borderId="71" xfId="0" applyFont="1" applyBorder="1" applyAlignment="1">
      <alignment horizontal="left" vertical="center" indent="1"/>
    </xf>
    <xf numFmtId="0" fontId="44" fillId="0" borderId="72" xfId="0" applyFont="1" applyBorder="1" applyAlignment="1">
      <alignment horizontal="left" vertical="center" wrapText="1" indent="1"/>
    </xf>
    <xf numFmtId="0" fontId="46" fillId="28" borderId="75" xfId="0" applyFont="1" applyFill="1" applyBorder="1" applyAlignment="1">
      <alignment vertical="center" wrapText="1"/>
    </xf>
    <xf numFmtId="0" fontId="46" fillId="28" borderId="75" xfId="0" applyFont="1" applyFill="1" applyBorder="1" applyAlignment="1">
      <alignment horizontal="left" vertical="center" wrapText="1" indent="1"/>
    </xf>
    <xf numFmtId="0" fontId="47" fillId="28" borderId="76" xfId="0" applyFont="1" applyFill="1" applyBorder="1" applyAlignment="1">
      <alignment horizontal="center" vertical="center"/>
    </xf>
    <xf numFmtId="0" fontId="48" fillId="0" borderId="75" xfId="0" applyFont="1" applyBorder="1" applyAlignment="1">
      <alignment horizontal="left" vertical="center" wrapText="1" indent="1"/>
    </xf>
    <xf numFmtId="0" fontId="47" fillId="26" borderId="77" xfId="0" applyFont="1" applyFill="1" applyBorder="1" applyAlignment="1">
      <alignment horizontal="center" vertical="center"/>
    </xf>
    <xf numFmtId="0" fontId="48" fillId="0" borderId="78" xfId="0" applyFont="1" applyBorder="1" applyAlignment="1">
      <alignment horizontal="left" vertical="center" wrapText="1" indent="1"/>
    </xf>
    <xf numFmtId="0" fontId="46" fillId="28" borderId="79" xfId="0" applyFont="1" applyFill="1" applyBorder="1" applyAlignment="1">
      <alignment horizontal="left" vertical="center" wrapText="1" indent="1"/>
    </xf>
    <xf numFmtId="0" fontId="47" fillId="26" borderId="80" xfId="0" applyFont="1" applyFill="1" applyBorder="1" applyAlignment="1">
      <alignment horizontal="center" vertical="center"/>
    </xf>
    <xf numFmtId="0" fontId="40" fillId="8" borderId="0" xfId="0" applyFont="1" applyFill="1" applyAlignment="1">
      <alignment wrapText="1"/>
    </xf>
    <xf numFmtId="0" fontId="49" fillId="8" borderId="0" xfId="0" applyFont="1" applyFill="1" applyAlignment="1">
      <alignment vertical="center"/>
    </xf>
    <xf numFmtId="0" fontId="40" fillId="8" borderId="0" xfId="0" applyFont="1" applyFill="1" applyAlignment="1">
      <alignment vertical="center" wrapText="1"/>
    </xf>
    <xf numFmtId="0" fontId="40" fillId="8" borderId="0" xfId="0" applyFont="1" applyFill="1" applyAlignment="1">
      <alignment vertical="center"/>
    </xf>
    <xf numFmtId="0" fontId="40" fillId="0" borderId="0" xfId="0" applyFont="1" applyAlignment="1">
      <alignment wrapText="1"/>
    </xf>
    <xf numFmtId="0" fontId="40" fillId="0" borderId="0" xfId="0" applyFont="1" applyAlignment="1">
      <alignment vertical="center" wrapText="1"/>
    </xf>
    <xf numFmtId="0" fontId="40" fillId="8" borderId="0" xfId="0" applyFont="1" applyFill="1" applyAlignment="1">
      <alignment horizontal="left" vertical="center" wrapText="1" indent="1"/>
    </xf>
    <xf numFmtId="0" fontId="40" fillId="30" borderId="96" xfId="0" applyFont="1" applyFill="1" applyBorder="1" applyAlignment="1">
      <alignment horizontal="left" vertical="center" wrapText="1" indent="1"/>
    </xf>
    <xf numFmtId="0" fontId="40" fillId="33" borderId="96" xfId="0" applyFont="1" applyFill="1" applyBorder="1" applyAlignment="1">
      <alignment horizontal="center" vertical="center" wrapText="1"/>
    </xf>
    <xf numFmtId="0" fontId="40" fillId="33" borderId="96" xfId="0" applyFont="1" applyFill="1" applyBorder="1" applyAlignment="1">
      <alignment horizontal="left" vertical="center" wrapText="1" indent="1"/>
    </xf>
    <xf numFmtId="0" fontId="40" fillId="34" borderId="97" xfId="0" applyFont="1" applyFill="1" applyBorder="1" applyAlignment="1">
      <alignment horizontal="left" vertical="center" wrapText="1" indent="1"/>
    </xf>
    <xf numFmtId="0" fontId="40" fillId="35" borderId="98" xfId="0" applyFont="1" applyFill="1" applyBorder="1" applyAlignment="1">
      <alignment horizontal="center" vertical="center" wrapText="1"/>
    </xf>
    <xf numFmtId="0" fontId="40" fillId="35" borderId="99" xfId="0" applyFont="1" applyFill="1" applyBorder="1" applyAlignment="1">
      <alignment horizontal="center" vertical="center" wrapText="1"/>
    </xf>
    <xf numFmtId="0" fontId="40" fillId="8" borderId="0" xfId="0" applyFont="1" applyFill="1" applyAlignment="1">
      <alignment horizontal="left" vertical="center" wrapText="1"/>
    </xf>
    <xf numFmtId="0" fontId="43" fillId="36" borderId="100" xfId="0" applyFont="1" applyFill="1" applyBorder="1" applyAlignment="1">
      <alignment horizontal="left" vertical="center" wrapText="1" indent="1"/>
    </xf>
    <xf numFmtId="169" fontId="52" fillId="0" borderId="100" xfId="0" applyNumberFormat="1" applyFont="1" applyBorder="1" applyAlignment="1">
      <alignment horizontal="left" vertical="center" wrapText="1" indent="1" readingOrder="1"/>
    </xf>
    <xf numFmtId="0" fontId="52" fillId="30" borderId="100" xfId="0" applyFont="1" applyFill="1" applyBorder="1" applyAlignment="1">
      <alignment horizontal="center" vertical="center"/>
    </xf>
    <xf numFmtId="0" fontId="40" fillId="30" borderId="100" xfId="0" applyFont="1" applyFill="1" applyBorder="1" applyAlignment="1">
      <alignment horizontal="left" vertical="center" wrapText="1" indent="1"/>
    </xf>
    <xf numFmtId="0" fontId="40" fillId="30" borderId="100" xfId="0" applyFont="1" applyFill="1" applyBorder="1" applyAlignment="1">
      <alignment horizontal="center" vertical="center" wrapText="1"/>
    </xf>
    <xf numFmtId="0" fontId="40" fillId="37" borderId="100" xfId="0" applyFont="1" applyFill="1" applyBorder="1" applyAlignment="1">
      <alignment horizontal="left" vertical="center" wrapText="1" indent="1"/>
    </xf>
    <xf numFmtId="0" fontId="53" fillId="38" borderId="100" xfId="0" applyFont="1" applyFill="1" applyBorder="1" applyAlignment="1">
      <alignment horizontal="center" vertical="center"/>
    </xf>
    <xf numFmtId="0" fontId="53" fillId="39" borderId="100" xfId="0" applyFont="1" applyFill="1" applyBorder="1" applyAlignment="1">
      <alignment horizontal="center" vertical="center"/>
    </xf>
    <xf numFmtId="0" fontId="53" fillId="40" borderId="100" xfId="0" applyFont="1" applyFill="1" applyBorder="1" applyAlignment="1">
      <alignment horizontal="center" vertical="center"/>
    </xf>
    <xf numFmtId="0" fontId="53" fillId="41" borderId="100" xfId="0" applyFont="1" applyFill="1" applyBorder="1" applyAlignment="1">
      <alignment horizontal="center" vertical="center"/>
    </xf>
    <xf numFmtId="0" fontId="53" fillId="42" borderId="101" xfId="0" applyFont="1" applyFill="1" applyBorder="1" applyAlignment="1">
      <alignment horizontal="center" vertical="center"/>
    </xf>
    <xf numFmtId="0" fontId="48" fillId="36" borderId="100" xfId="0" applyFont="1" applyFill="1" applyBorder="1" applyAlignment="1">
      <alignment horizontal="left" vertical="center" wrapText="1" indent="1" readingOrder="1"/>
    </xf>
    <xf numFmtId="0" fontId="52" fillId="30" borderId="100" xfId="0" applyFont="1" applyFill="1" applyBorder="1" applyAlignment="1">
      <alignment horizontal="center" vertical="center" wrapText="1" readingOrder="1"/>
    </xf>
    <xf numFmtId="0" fontId="40" fillId="0" borderId="100" xfId="0" applyFont="1" applyBorder="1" applyAlignment="1">
      <alignment horizontal="left" vertical="center" wrapText="1" indent="1"/>
    </xf>
    <xf numFmtId="169" fontId="40" fillId="0" borderId="100" xfId="0" applyNumberFormat="1" applyFont="1" applyBorder="1" applyAlignment="1">
      <alignment horizontal="left" vertical="center" wrapText="1" indent="1"/>
    </xf>
    <xf numFmtId="0" fontId="40" fillId="0" borderId="46" xfId="3" applyFont="1" applyAlignment="1">
      <alignment horizontal="left" vertical="center" wrapText="1" indent="1"/>
    </xf>
    <xf numFmtId="0" fontId="56" fillId="8" borderId="46" xfId="3" applyFont="1" applyFill="1" applyAlignment="1">
      <alignment vertical="center"/>
    </xf>
    <xf numFmtId="0" fontId="57" fillId="8" borderId="46" xfId="3" applyFont="1" applyFill="1" applyAlignment="1">
      <alignment vertical="center"/>
    </xf>
    <xf numFmtId="0" fontId="40" fillId="8" borderId="46" xfId="3" applyFont="1" applyFill="1" applyAlignment="1">
      <alignment horizontal="left" vertical="center" wrapText="1" indent="1"/>
    </xf>
    <xf numFmtId="0" fontId="58" fillId="0" borderId="71" xfId="0" applyFont="1" applyBorder="1" applyAlignment="1">
      <alignment vertical="top"/>
    </xf>
    <xf numFmtId="0" fontId="0" fillId="0" borderId="71" xfId="0" applyBorder="1"/>
    <xf numFmtId="0" fontId="19" fillId="0" borderId="46" xfId="3"/>
    <xf numFmtId="0" fontId="52" fillId="26" borderId="102" xfId="0" applyFont="1" applyFill="1" applyBorder="1"/>
    <xf numFmtId="0" fontId="59" fillId="26" borderId="103" xfId="0" applyFont="1" applyFill="1" applyBorder="1" applyAlignment="1">
      <alignment horizontal="left" vertical="center" wrapText="1" indent="1"/>
    </xf>
    <xf numFmtId="0" fontId="60" fillId="26" borderId="69" xfId="3" applyFont="1" applyFill="1" applyBorder="1" applyAlignment="1">
      <alignment horizontal="center" vertical="center" wrapText="1"/>
    </xf>
    <xf numFmtId="0" fontId="61" fillId="0" borderId="104" xfId="0" applyFont="1" applyBorder="1" applyAlignment="1">
      <alignment horizontal="center" vertical="center"/>
    </xf>
    <xf numFmtId="0" fontId="48" fillId="0" borderId="105" xfId="0" applyFont="1" applyBorder="1" applyAlignment="1">
      <alignment horizontal="left" vertical="center" indent="1"/>
    </xf>
    <xf numFmtId="0" fontId="52" fillId="43" borderId="100" xfId="3" applyFont="1" applyFill="1" applyBorder="1" applyAlignment="1">
      <alignment horizontal="left" vertical="center" indent="1"/>
    </xf>
    <xf numFmtId="0" fontId="40" fillId="8" borderId="100" xfId="3" applyFont="1" applyFill="1" applyBorder="1" applyAlignment="1">
      <alignment horizontal="left" vertical="center" wrapText="1" indent="1"/>
    </xf>
    <xf numFmtId="0" fontId="52" fillId="44" borderId="100" xfId="3" applyFont="1" applyFill="1" applyBorder="1" applyAlignment="1">
      <alignment horizontal="left" vertical="center" indent="1"/>
    </xf>
    <xf numFmtId="0" fontId="52" fillId="8" borderId="100" xfId="3" applyFont="1" applyFill="1" applyBorder="1" applyAlignment="1">
      <alignment horizontal="left" vertical="center" wrapText="1" indent="1" readingOrder="1"/>
    </xf>
    <xf numFmtId="0" fontId="61" fillId="45" borderId="104" xfId="0" applyFont="1" applyFill="1" applyBorder="1" applyAlignment="1">
      <alignment horizontal="center" vertical="center"/>
    </xf>
    <xf numFmtId="0" fontId="52" fillId="46" borderId="100" xfId="3" applyFont="1" applyFill="1" applyBorder="1" applyAlignment="1">
      <alignment horizontal="left" vertical="center" indent="1"/>
    </xf>
    <xf numFmtId="0" fontId="62" fillId="0" borderId="46" xfId="3" applyFont="1"/>
    <xf numFmtId="0" fontId="40" fillId="47" borderId="100" xfId="3" applyFont="1" applyFill="1" applyBorder="1" applyAlignment="1">
      <alignment horizontal="left" vertical="center" wrapText="1" indent="1"/>
    </xf>
    <xf numFmtId="0" fontId="40" fillId="48" borderId="100" xfId="3" applyFont="1" applyFill="1" applyBorder="1" applyAlignment="1">
      <alignment horizontal="left" vertical="center" wrapText="1" indent="1"/>
    </xf>
    <xf numFmtId="0" fontId="40" fillId="32" borderId="100" xfId="3" applyFont="1" applyFill="1" applyBorder="1" applyAlignment="1">
      <alignment horizontal="left" vertical="center" wrapText="1" indent="1"/>
    </xf>
    <xf numFmtId="0" fontId="40" fillId="26" borderId="100" xfId="3" applyFont="1" applyFill="1" applyBorder="1" applyAlignment="1">
      <alignment horizontal="left" vertical="center" wrapText="1" indent="1"/>
    </xf>
    <xf numFmtId="0" fontId="40" fillId="0" borderId="100" xfId="3" applyFont="1" applyBorder="1" applyAlignment="1">
      <alignment horizontal="left" vertical="center" wrapText="1" indent="1"/>
    </xf>
    <xf numFmtId="165" fontId="23" fillId="0" borderId="7" xfId="0" applyNumberFormat="1" applyFont="1" applyBorder="1" applyAlignment="1">
      <alignment horizontal="right" vertical="center" wrapText="1" readingOrder="1"/>
    </xf>
    <xf numFmtId="0" fontId="32" fillId="0" borderId="1" xfId="0" applyFont="1" applyBorder="1"/>
    <xf numFmtId="0" fontId="11" fillId="0" borderId="46" xfId="0" applyFont="1" applyBorder="1"/>
    <xf numFmtId="166" fontId="0" fillId="0" borderId="0" xfId="0" applyNumberFormat="1" applyAlignment="1">
      <alignment horizontal="center" vertical="center"/>
    </xf>
    <xf numFmtId="2" fontId="2" fillId="0" borderId="46" xfId="0" applyNumberFormat="1" applyFont="1" applyBorder="1"/>
    <xf numFmtId="0" fontId="12" fillId="0" borderId="46" xfId="0" applyFont="1" applyBorder="1"/>
    <xf numFmtId="166" fontId="0" fillId="0" borderId="0" xfId="0" applyNumberFormat="1" applyAlignment="1">
      <alignment vertical="center" wrapText="1"/>
    </xf>
    <xf numFmtId="165" fontId="65" fillId="0" borderId="44" xfId="0" applyNumberFormat="1" applyFont="1" applyBorder="1" applyAlignment="1">
      <alignment horizontal="center" vertical="center" wrapText="1" readingOrder="1"/>
    </xf>
    <xf numFmtId="165" fontId="65" fillId="49" borderId="44" xfId="0" applyNumberFormat="1" applyFont="1" applyFill="1" applyBorder="1" applyAlignment="1">
      <alignment horizontal="center" vertical="center" wrapText="1" readingOrder="1"/>
    </xf>
    <xf numFmtId="165" fontId="23" fillId="49" borderId="6" xfId="0" applyNumberFormat="1" applyFont="1" applyFill="1" applyBorder="1" applyAlignment="1">
      <alignment horizontal="right" vertical="center" wrapText="1" readingOrder="1"/>
    </xf>
    <xf numFmtId="165" fontId="23" fillId="49" borderId="6" xfId="1" applyNumberFormat="1" applyFont="1" applyFill="1" applyBorder="1" applyAlignment="1">
      <alignment horizontal="center" vertical="center" wrapText="1" readingOrder="1"/>
    </xf>
    <xf numFmtId="165" fontId="23" fillId="49" borderId="54" xfId="1" applyNumberFormat="1" applyFont="1" applyFill="1" applyBorder="1" applyAlignment="1">
      <alignment horizontal="center" vertical="center" wrapText="1" readingOrder="1"/>
    </xf>
    <xf numFmtId="165" fontId="23" fillId="49" borderId="44" xfId="1" applyNumberFormat="1" applyFont="1" applyFill="1" applyBorder="1" applyAlignment="1">
      <alignment horizontal="center" vertical="center" wrapText="1" readingOrder="1"/>
    </xf>
    <xf numFmtId="14" fontId="23" fillId="7" borderId="7" xfId="0" applyNumberFormat="1" applyFont="1" applyFill="1" applyBorder="1" applyAlignment="1">
      <alignment horizontal="left" vertical="center" wrapText="1" readingOrder="1"/>
    </xf>
    <xf numFmtId="0" fontId="23" fillId="7" borderId="12" xfId="0" applyFont="1" applyFill="1" applyBorder="1" applyAlignment="1">
      <alignment horizontal="center" vertical="center" wrapText="1"/>
    </xf>
    <xf numFmtId="165" fontId="23" fillId="9" borderId="64" xfId="1" applyNumberFormat="1" applyFont="1" applyFill="1" applyBorder="1" applyAlignment="1">
      <alignment horizontal="center" vertical="center" wrapText="1" readingOrder="1"/>
    </xf>
    <xf numFmtId="165" fontId="23" fillId="9" borderId="7" xfId="1" applyNumberFormat="1" applyFont="1" applyFill="1" applyBorder="1" applyAlignment="1">
      <alignment horizontal="center" vertical="center" wrapText="1" readingOrder="1"/>
    </xf>
    <xf numFmtId="165" fontId="23" fillId="0" borderId="6" xfId="1" applyNumberFormat="1" applyFont="1" applyBorder="1" applyAlignment="1">
      <alignment horizontal="center" vertical="center" wrapText="1" readingOrder="1"/>
    </xf>
    <xf numFmtId="165" fontId="23" fillId="0" borderId="54" xfId="1" applyNumberFormat="1" applyFont="1" applyBorder="1" applyAlignment="1">
      <alignment horizontal="center" vertical="center" wrapText="1" readingOrder="1"/>
    </xf>
    <xf numFmtId="165" fontId="23" fillId="9" borderId="12" xfId="1" applyNumberFormat="1" applyFont="1" applyFill="1" applyBorder="1" applyAlignment="1">
      <alignment horizontal="center" vertical="center" wrapText="1" readingOrder="1"/>
    </xf>
    <xf numFmtId="3" fontId="28" fillId="23" borderId="0" xfId="0" applyNumberFormat="1" applyFont="1" applyFill="1" applyAlignment="1">
      <alignment horizontal="right"/>
    </xf>
    <xf numFmtId="3" fontId="0" fillId="8" borderId="0" xfId="0" applyNumberFormat="1" applyFill="1"/>
    <xf numFmtId="0" fontId="0" fillId="50" borderId="0" xfId="0" applyFill="1"/>
    <xf numFmtId="3" fontId="0" fillId="0" borderId="0" xfId="0" applyNumberFormat="1" applyAlignment="1">
      <alignment horizontal="right"/>
    </xf>
    <xf numFmtId="0" fontId="68" fillId="8" borderId="59" xfId="0" applyFont="1" applyFill="1" applyBorder="1" applyAlignment="1">
      <alignment horizontal="center" vertical="center" wrapText="1"/>
    </xf>
    <xf numFmtId="0" fontId="68" fillId="8" borderId="6" xfId="0" applyFont="1" applyFill="1" applyBorder="1" applyAlignment="1">
      <alignment horizontal="center" vertical="center" wrapText="1"/>
    </xf>
    <xf numFmtId="0" fontId="70" fillId="0" borderId="47" xfId="0" applyFont="1" applyBorder="1"/>
    <xf numFmtId="0" fontId="67" fillId="18" borderId="47" xfId="0" applyFont="1" applyFill="1" applyBorder="1" applyAlignment="1">
      <alignment horizontal="left" vertical="center" wrapText="1" readingOrder="1"/>
    </xf>
    <xf numFmtId="0" fontId="67" fillId="18" borderId="22" xfId="0" applyFont="1" applyFill="1" applyBorder="1" applyAlignment="1">
      <alignment horizontal="left" vertical="center" wrapText="1" readingOrder="1"/>
    </xf>
    <xf numFmtId="0" fontId="67" fillId="18" borderId="46" xfId="0" applyFont="1" applyFill="1" applyBorder="1" applyAlignment="1">
      <alignment horizontal="left" vertical="center" wrapText="1" readingOrder="1"/>
    </xf>
    <xf numFmtId="0" fontId="67" fillId="18" borderId="55" xfId="0" applyFont="1" applyFill="1" applyBorder="1" applyAlignment="1">
      <alignment horizontal="center" vertical="center" wrapText="1"/>
    </xf>
    <xf numFmtId="0" fontId="68" fillId="24" borderId="47" xfId="0" applyFont="1" applyFill="1" applyBorder="1" applyAlignment="1">
      <alignment horizontal="left" vertical="center" wrapText="1" readingOrder="1"/>
    </xf>
    <xf numFmtId="0" fontId="67" fillId="24" borderId="61" xfId="0" applyFont="1" applyFill="1" applyBorder="1" applyAlignment="1">
      <alignment horizontal="left" vertical="center" wrapText="1" readingOrder="1"/>
    </xf>
    <xf numFmtId="0" fontId="67" fillId="24" borderId="47" xfId="0" applyFont="1" applyFill="1" applyBorder="1" applyAlignment="1">
      <alignment horizontal="center" vertical="center" wrapText="1"/>
    </xf>
    <xf numFmtId="0" fontId="68" fillId="7" borderId="50" xfId="0" applyFont="1" applyFill="1" applyBorder="1" applyAlignment="1">
      <alignment horizontal="left" vertical="center" wrapText="1" readingOrder="1"/>
    </xf>
    <xf numFmtId="0" fontId="68" fillId="0" borderId="6" xfId="0" applyFont="1" applyBorder="1" applyAlignment="1">
      <alignment horizontal="left" vertical="center" wrapText="1" readingOrder="1"/>
    </xf>
    <xf numFmtId="0" fontId="68" fillId="0" borderId="47" xfId="0" applyFont="1" applyBorder="1" applyAlignment="1">
      <alignment horizontal="center" vertical="center" wrapText="1"/>
    </xf>
    <xf numFmtId="0" fontId="69" fillId="0" borderId="62" xfId="0" applyFont="1" applyBorder="1" applyAlignment="1">
      <alignment horizontal="center" vertical="center" wrapText="1"/>
    </xf>
    <xf numFmtId="167" fontId="68" fillId="9" borderId="47" xfId="0" applyNumberFormat="1" applyFont="1" applyFill="1" applyBorder="1" applyAlignment="1">
      <alignment horizontal="center" vertical="center" wrapText="1"/>
    </xf>
    <xf numFmtId="0" fontId="68" fillId="7" borderId="47" xfId="0" applyFont="1" applyFill="1" applyBorder="1" applyAlignment="1">
      <alignment horizontal="left" vertical="center" wrapText="1" readingOrder="1"/>
    </xf>
    <xf numFmtId="0" fontId="70" fillId="0" borderId="63" xfId="0" applyFont="1" applyBorder="1" applyAlignment="1">
      <alignment horizontal="left" vertical="center" wrapText="1" readingOrder="1"/>
    </xf>
    <xf numFmtId="0" fontId="68" fillId="24" borderId="48" xfId="0" applyFont="1" applyFill="1" applyBorder="1" applyAlignment="1">
      <alignment horizontal="left" vertical="center" wrapText="1" readingOrder="1"/>
    </xf>
    <xf numFmtId="0" fontId="71" fillId="24" borderId="61" xfId="0" applyFont="1" applyFill="1" applyBorder="1" applyAlignment="1">
      <alignment horizontal="left" vertical="center" wrapText="1" readingOrder="1"/>
    </xf>
    <xf numFmtId="0" fontId="68" fillId="0" borderId="68" xfId="0" applyFont="1" applyBorder="1" applyAlignment="1">
      <alignment horizontal="left" vertical="center" wrapText="1" readingOrder="1"/>
    </xf>
    <xf numFmtId="0" fontId="68" fillId="0" borderId="52" xfId="0" applyFont="1" applyBorder="1" applyAlignment="1">
      <alignment horizontal="center" vertical="center" wrapText="1"/>
    </xf>
    <xf numFmtId="0" fontId="68" fillId="0" borderId="48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 vertical="center" wrapText="1"/>
    </xf>
    <xf numFmtId="0" fontId="67" fillId="16" borderId="64" xfId="0" applyFont="1" applyFill="1" applyBorder="1" applyAlignment="1">
      <alignment horizontal="left" vertical="center" wrapText="1" readingOrder="1"/>
    </xf>
    <xf numFmtId="0" fontId="67" fillId="18" borderId="64" xfId="0" applyFont="1" applyFill="1" applyBorder="1" applyAlignment="1">
      <alignment horizontal="center" vertical="center" wrapText="1" readingOrder="1"/>
    </xf>
    <xf numFmtId="0" fontId="67" fillId="18" borderId="62" xfId="0" applyFont="1" applyFill="1" applyBorder="1" applyAlignment="1">
      <alignment horizontal="center" vertical="center" wrapText="1" readingOrder="1"/>
    </xf>
    <xf numFmtId="0" fontId="67" fillId="18" borderId="53" xfId="0" applyFont="1" applyFill="1" applyBorder="1" applyAlignment="1">
      <alignment horizontal="center" vertical="center" wrapText="1"/>
    </xf>
    <xf numFmtId="166" fontId="67" fillId="18" borderId="53" xfId="0" applyNumberFormat="1" applyFont="1" applyFill="1" applyBorder="1" applyAlignment="1">
      <alignment horizontal="center" vertical="center" wrapText="1"/>
    </xf>
    <xf numFmtId="165" fontId="67" fillId="18" borderId="53" xfId="0" applyNumberFormat="1" applyFont="1" applyFill="1" applyBorder="1" applyAlignment="1">
      <alignment horizontal="center" vertical="center" wrapText="1" readingOrder="1"/>
    </xf>
    <xf numFmtId="0" fontId="67" fillId="6" borderId="49" xfId="0" applyFont="1" applyFill="1" applyBorder="1" applyAlignment="1">
      <alignment horizontal="left" vertical="center" wrapText="1" readingOrder="1"/>
    </xf>
    <xf numFmtId="0" fontId="67" fillId="24" borderId="22" xfId="0" applyFont="1" applyFill="1" applyBorder="1" applyAlignment="1">
      <alignment horizontal="left" vertical="center" wrapText="1" readingOrder="1"/>
    </xf>
    <xf numFmtId="0" fontId="67" fillId="6" borderId="46" xfId="0" applyFont="1" applyFill="1" applyBorder="1" applyAlignment="1">
      <alignment horizontal="left" vertical="center" wrapText="1" readingOrder="1"/>
    </xf>
    <xf numFmtId="0" fontId="67" fillId="13" borderId="55" xfId="0" applyFont="1" applyFill="1" applyBorder="1" applyAlignment="1">
      <alignment horizontal="center" vertical="center" wrapText="1"/>
    </xf>
    <xf numFmtId="166" fontId="67" fillId="13" borderId="55" xfId="0" applyNumberFormat="1" applyFont="1" applyFill="1" applyBorder="1" applyAlignment="1">
      <alignment horizontal="center" vertical="center" wrapText="1"/>
    </xf>
    <xf numFmtId="165" fontId="67" fillId="15" borderId="55" xfId="0" applyNumberFormat="1" applyFont="1" applyFill="1" applyBorder="1" applyAlignment="1">
      <alignment horizontal="center" vertical="center" wrapText="1" readingOrder="1"/>
    </xf>
    <xf numFmtId="0" fontId="72" fillId="20" borderId="47" xfId="0" applyFont="1" applyFill="1" applyBorder="1" applyAlignment="1">
      <alignment horizontal="left" vertical="center" wrapText="1" readingOrder="1"/>
    </xf>
    <xf numFmtId="0" fontId="72" fillId="20" borderId="52" xfId="0" applyFont="1" applyFill="1" applyBorder="1" applyAlignment="1">
      <alignment horizontal="left" vertical="center" wrapText="1" readingOrder="1"/>
    </xf>
    <xf numFmtId="0" fontId="72" fillId="21" borderId="47" xfId="0" applyFont="1" applyFill="1" applyBorder="1" applyAlignment="1">
      <alignment horizontal="center" vertical="center" wrapText="1"/>
    </xf>
    <xf numFmtId="166" fontId="72" fillId="21" borderId="47" xfId="0" applyNumberFormat="1" applyFont="1" applyFill="1" applyBorder="1" applyAlignment="1">
      <alignment horizontal="center" vertical="center" wrapText="1"/>
    </xf>
    <xf numFmtId="165" fontId="72" fillId="21" borderId="47" xfId="1" applyNumberFormat="1" applyFont="1" applyFill="1" applyBorder="1" applyAlignment="1">
      <alignment horizontal="center" vertical="center" wrapText="1" readingOrder="1"/>
    </xf>
    <xf numFmtId="0" fontId="68" fillId="7" borderId="52" xfId="0" applyFont="1" applyFill="1" applyBorder="1" applyAlignment="1">
      <alignment horizontal="left" vertical="center" wrapText="1" readingOrder="1"/>
    </xf>
    <xf numFmtId="0" fontId="68" fillId="9" borderId="47" xfId="0" applyFont="1" applyFill="1" applyBorder="1" applyAlignment="1">
      <alignment horizontal="center" vertical="center" wrapText="1"/>
    </xf>
    <xf numFmtId="165" fontId="68" fillId="9" borderId="47" xfId="1" applyNumberFormat="1" applyFont="1" applyFill="1" applyBorder="1" applyAlignment="1">
      <alignment horizontal="center" vertical="center" wrapText="1" readingOrder="1"/>
    </xf>
    <xf numFmtId="0" fontId="68" fillId="0" borderId="47" xfId="0" applyFont="1" applyBorder="1" applyAlignment="1">
      <alignment vertical="center" wrapText="1"/>
    </xf>
    <xf numFmtId="0" fontId="68" fillId="0" borderId="52" xfId="0" applyFont="1" applyBorder="1" applyAlignment="1">
      <alignment vertical="center" wrapText="1"/>
    </xf>
    <xf numFmtId="0" fontId="69" fillId="0" borderId="46" xfId="0" applyFont="1" applyBorder="1" applyAlignment="1">
      <alignment horizontal="center" vertical="center" wrapText="1"/>
    </xf>
    <xf numFmtId="0" fontId="72" fillId="21" borderId="48" xfId="0" applyFont="1" applyFill="1" applyBorder="1" applyAlignment="1">
      <alignment horizontal="center" vertical="center" wrapText="1"/>
    </xf>
    <xf numFmtId="0" fontId="69" fillId="0" borderId="0" xfId="0" applyFont="1" applyAlignment="1">
      <alignment wrapText="1"/>
    </xf>
    <xf numFmtId="0" fontId="69" fillId="0" borderId="6" xfId="0" applyFont="1" applyBorder="1" applyAlignment="1">
      <alignment horizontal="center" vertical="center" wrapText="1"/>
    </xf>
    <xf numFmtId="167" fontId="68" fillId="9" borderId="52" xfId="0" applyNumberFormat="1" applyFont="1" applyFill="1" applyBorder="1" applyAlignment="1">
      <alignment horizontal="center" vertical="center" wrapText="1"/>
    </xf>
    <xf numFmtId="0" fontId="70" fillId="0" borderId="54" xfId="0" applyFont="1" applyBorder="1" applyAlignment="1">
      <alignment horizontal="center" vertical="center"/>
    </xf>
    <xf numFmtId="0" fontId="69" fillId="0" borderId="62" xfId="0" applyFont="1" applyBorder="1" applyAlignment="1">
      <alignment wrapText="1"/>
    </xf>
    <xf numFmtId="0" fontId="67" fillId="6" borderId="47" xfId="0" applyFont="1" applyFill="1" applyBorder="1" applyAlignment="1">
      <alignment horizontal="left" vertical="center" wrapText="1" readingOrder="1"/>
    </xf>
    <xf numFmtId="0" fontId="67" fillId="6" borderId="57" xfId="0" applyFont="1" applyFill="1" applyBorder="1" applyAlignment="1">
      <alignment horizontal="left" vertical="center" wrapText="1" readingOrder="1"/>
    </xf>
    <xf numFmtId="0" fontId="67" fillId="13" borderId="49" xfId="0" applyFont="1" applyFill="1" applyBorder="1" applyAlignment="1">
      <alignment horizontal="center" vertical="center" wrapText="1"/>
    </xf>
    <xf numFmtId="0" fontId="72" fillId="22" borderId="47" xfId="0" applyFont="1" applyFill="1" applyBorder="1" applyAlignment="1">
      <alignment horizontal="left" vertical="center" wrapText="1" readingOrder="1"/>
    </xf>
    <xf numFmtId="0" fontId="72" fillId="22" borderId="52" xfId="0" applyFont="1" applyFill="1" applyBorder="1" applyAlignment="1">
      <alignment horizontal="left" vertical="center" wrapText="1" readingOrder="1"/>
    </xf>
    <xf numFmtId="0" fontId="68" fillId="9" borderId="50" xfId="0" applyFont="1" applyFill="1" applyBorder="1" applyAlignment="1">
      <alignment horizontal="center" vertical="center" wrapText="1"/>
    </xf>
    <xf numFmtId="0" fontId="72" fillId="21" borderId="49" xfId="0" applyFont="1" applyFill="1" applyBorder="1" applyAlignment="1">
      <alignment horizontal="center" vertical="center" wrapText="1"/>
    </xf>
    <xf numFmtId="0" fontId="69" fillId="0" borderId="46" xfId="0" applyFont="1" applyBorder="1" applyAlignment="1">
      <alignment wrapText="1"/>
    </xf>
    <xf numFmtId="0" fontId="67" fillId="6" borderId="12" xfId="0" applyFont="1" applyFill="1" applyBorder="1" applyAlignment="1">
      <alignment horizontal="left" vertical="center" wrapText="1" readingOrder="1"/>
    </xf>
    <xf numFmtId="0" fontId="67" fillId="13" borderId="47" xfId="0" applyFont="1" applyFill="1" applyBorder="1" applyAlignment="1">
      <alignment horizontal="center" vertical="center" wrapText="1"/>
    </xf>
    <xf numFmtId="0" fontId="68" fillId="7" borderId="47" xfId="0" applyFont="1" applyFill="1" applyBorder="1" applyAlignment="1">
      <alignment horizontal="center" vertical="center" wrapText="1"/>
    </xf>
    <xf numFmtId="0" fontId="69" fillId="0" borderId="54" xfId="0" applyFont="1" applyBorder="1" applyAlignment="1">
      <alignment horizontal="center" vertical="center" wrapText="1"/>
    </xf>
    <xf numFmtId="165" fontId="68" fillId="9" borderId="48" xfId="1" applyNumberFormat="1" applyFont="1" applyFill="1" applyBorder="1" applyAlignment="1">
      <alignment horizontal="center" vertical="center" wrapText="1" readingOrder="1"/>
    </xf>
    <xf numFmtId="0" fontId="68" fillId="0" borderId="50" xfId="0" applyFont="1" applyBorder="1" applyAlignment="1">
      <alignment vertical="center" wrapText="1"/>
    </xf>
    <xf numFmtId="0" fontId="69" fillId="0" borderId="6" xfId="0" applyFont="1" applyBorder="1" applyAlignment="1">
      <alignment wrapText="1"/>
    </xf>
    <xf numFmtId="165" fontId="68" fillId="9" borderId="6" xfId="1" applyNumberFormat="1" applyFont="1" applyFill="1" applyBorder="1" applyAlignment="1">
      <alignment horizontal="center" vertical="center" wrapText="1" readingOrder="1"/>
    </xf>
    <xf numFmtId="0" fontId="68" fillId="14" borderId="50" xfId="0" applyFont="1" applyFill="1" applyBorder="1" applyAlignment="1">
      <alignment vertical="center" wrapText="1"/>
    </xf>
    <xf numFmtId="0" fontId="69" fillId="14" borderId="6" xfId="0" applyFont="1" applyFill="1" applyBorder="1" applyAlignment="1">
      <alignment wrapText="1"/>
    </xf>
    <xf numFmtId="14" fontId="68" fillId="14" borderId="6" xfId="0" applyNumberFormat="1" applyFont="1" applyFill="1" applyBorder="1" applyAlignment="1">
      <alignment horizontal="left" vertical="center" wrapText="1" readingOrder="1"/>
    </xf>
    <xf numFmtId="0" fontId="67" fillId="14" borderId="7" xfId="0" applyFont="1" applyFill="1" applyBorder="1" applyAlignment="1">
      <alignment horizontal="center" vertical="center" wrapText="1"/>
    </xf>
    <xf numFmtId="0" fontId="67" fillId="14" borderId="6" xfId="0" applyFont="1" applyFill="1" applyBorder="1" applyAlignment="1">
      <alignment horizontal="center" vertical="center" wrapText="1"/>
    </xf>
    <xf numFmtId="0" fontId="68" fillId="14" borderId="6" xfId="0" applyFont="1" applyFill="1" applyBorder="1" applyAlignment="1">
      <alignment horizontal="center" vertical="center" wrapText="1"/>
    </xf>
    <xf numFmtId="0" fontId="69" fillId="14" borderId="6" xfId="0" applyFont="1" applyFill="1" applyBorder="1" applyAlignment="1">
      <alignment horizontal="center" vertical="center" wrapText="1"/>
    </xf>
    <xf numFmtId="166" fontId="68" fillId="14" borderId="6" xfId="0" applyNumberFormat="1" applyFont="1" applyFill="1" applyBorder="1" applyAlignment="1">
      <alignment horizontal="center" vertical="center" wrapText="1"/>
    </xf>
    <xf numFmtId="165" fontId="68" fillId="14" borderId="6" xfId="1" applyNumberFormat="1" applyFont="1" applyFill="1" applyBorder="1" applyAlignment="1">
      <alignment horizontal="center" vertical="center" wrapText="1" readingOrder="1"/>
    </xf>
    <xf numFmtId="0" fontId="69" fillId="17" borderId="47" xfId="0" applyFont="1" applyFill="1" applyBorder="1"/>
    <xf numFmtId="0" fontId="73" fillId="18" borderId="51" xfId="0" applyFont="1" applyFill="1" applyBorder="1"/>
    <xf numFmtId="0" fontId="69" fillId="18" borderId="60" xfId="0" applyFont="1" applyFill="1" applyBorder="1"/>
    <xf numFmtId="165" fontId="73" fillId="18" borderId="60" xfId="0" applyNumberFormat="1" applyFont="1" applyFill="1" applyBorder="1" applyAlignment="1">
      <alignment horizontal="center"/>
    </xf>
    <xf numFmtId="0" fontId="69" fillId="18" borderId="60" xfId="0" applyFont="1" applyFill="1" applyBorder="1" applyAlignment="1">
      <alignment horizontal="center"/>
    </xf>
    <xf numFmtId="166" fontId="69" fillId="18" borderId="60" xfId="0" applyNumberFormat="1" applyFont="1" applyFill="1" applyBorder="1" applyAlignment="1">
      <alignment horizontal="center"/>
    </xf>
    <xf numFmtId="0" fontId="69" fillId="18" borderId="61" xfId="0" applyFont="1" applyFill="1" applyBorder="1" applyAlignment="1">
      <alignment horizontal="center"/>
    </xf>
    <xf numFmtId="165" fontId="67" fillId="18" borderId="58" xfId="0" applyNumberFormat="1" applyFont="1" applyFill="1" applyBorder="1" applyAlignment="1">
      <alignment horizontal="center" vertical="center" wrapText="1" readingOrder="1"/>
    </xf>
    <xf numFmtId="0" fontId="69" fillId="18" borderId="51" xfId="0" applyFont="1" applyFill="1" applyBorder="1"/>
    <xf numFmtId="0" fontId="69" fillId="18" borderId="51" xfId="0" applyFont="1" applyFill="1" applyBorder="1" applyAlignment="1">
      <alignment horizontal="center"/>
    </xf>
    <xf numFmtId="166" fontId="69" fillId="18" borderId="51" xfId="0" applyNumberFormat="1" applyFont="1" applyFill="1" applyBorder="1" applyAlignment="1">
      <alignment horizontal="center"/>
    </xf>
    <xf numFmtId="0" fontId="69" fillId="18" borderId="52" xfId="0" applyFont="1" applyFill="1" applyBorder="1" applyAlignment="1">
      <alignment horizontal="center"/>
    </xf>
    <xf numFmtId="165" fontId="67" fillId="23" borderId="58" xfId="0" applyNumberFormat="1" applyFont="1" applyFill="1" applyBorder="1" applyAlignment="1">
      <alignment horizontal="center" vertical="center" wrapText="1" readingOrder="1"/>
    </xf>
    <xf numFmtId="0" fontId="70" fillId="0" borderId="117" xfId="0" applyFont="1" applyBorder="1" applyAlignment="1">
      <alignment vertical="center" wrapText="1"/>
    </xf>
    <xf numFmtId="0" fontId="70" fillId="0" borderId="117" xfId="0" applyFont="1" applyBorder="1" applyAlignment="1">
      <alignment horizontal="left" vertical="center" wrapText="1" readingOrder="1"/>
    </xf>
    <xf numFmtId="0" fontId="70" fillId="8" borderId="117" xfId="0" applyFont="1" applyFill="1" applyBorder="1" applyAlignment="1">
      <alignment horizontal="left" vertical="center" wrapText="1" readingOrder="1"/>
    </xf>
    <xf numFmtId="0" fontId="71" fillId="0" borderId="44" xfId="0" applyFont="1" applyBorder="1" applyAlignment="1">
      <alignment vertical="center" wrapText="1"/>
    </xf>
    <xf numFmtId="14" fontId="67" fillId="24" borderId="47" xfId="0" applyNumberFormat="1" applyFont="1" applyFill="1" applyBorder="1" applyAlignment="1">
      <alignment horizontal="center" vertical="center" wrapText="1" readingOrder="1"/>
    </xf>
    <xf numFmtId="14" fontId="67" fillId="24" borderId="45" xfId="0" applyNumberFormat="1" applyFont="1" applyFill="1" applyBorder="1" applyAlignment="1">
      <alignment horizontal="center" vertical="center" wrapText="1" readingOrder="1"/>
    </xf>
    <xf numFmtId="14" fontId="68" fillId="0" borderId="51" xfId="0" applyNumberFormat="1" applyFont="1" applyBorder="1" applyAlignment="1">
      <alignment horizontal="center" vertical="center" wrapText="1" readingOrder="1"/>
    </xf>
    <xf numFmtId="14" fontId="68" fillId="8" borderId="6" xfId="0" applyNumberFormat="1" applyFont="1" applyFill="1" applyBorder="1" applyAlignment="1">
      <alignment horizontal="center" vertical="center" wrapText="1" readingOrder="1"/>
    </xf>
    <xf numFmtId="14" fontId="68" fillId="0" borderId="60" xfId="0" applyNumberFormat="1" applyFont="1" applyBorder="1" applyAlignment="1">
      <alignment horizontal="center" vertical="center" wrapText="1" readingOrder="1"/>
    </xf>
    <xf numFmtId="14" fontId="68" fillId="8" borderId="54" xfId="0" applyNumberFormat="1" applyFont="1" applyFill="1" applyBorder="1" applyAlignment="1">
      <alignment horizontal="center" vertical="center" wrapText="1" readingOrder="1"/>
    </xf>
    <xf numFmtId="14" fontId="67" fillId="0" borderId="6" xfId="0" applyNumberFormat="1" applyFont="1" applyBorder="1" applyAlignment="1">
      <alignment horizontal="center" vertical="center" wrapText="1" readingOrder="1"/>
    </xf>
    <xf numFmtId="14" fontId="67" fillId="8" borderId="6" xfId="0" applyNumberFormat="1" applyFont="1" applyFill="1" applyBorder="1" applyAlignment="1">
      <alignment horizontal="center" vertical="center" wrapText="1" readingOrder="1"/>
    </xf>
    <xf numFmtId="14" fontId="67" fillId="24" borderId="48" xfId="0" applyNumberFormat="1" applyFont="1" applyFill="1" applyBorder="1" applyAlignment="1">
      <alignment horizontal="center" vertical="center" wrapText="1" readingOrder="1"/>
    </xf>
    <xf numFmtId="14" fontId="68" fillId="7" borderId="51" xfId="0" applyNumberFormat="1" applyFont="1" applyFill="1" applyBorder="1" applyAlignment="1">
      <alignment horizontal="center" vertical="center" wrapText="1" readingOrder="1"/>
    </xf>
    <xf numFmtId="14" fontId="68" fillId="0" borderId="6" xfId="0" applyNumberFormat="1" applyFont="1" applyBorder="1" applyAlignment="1">
      <alignment horizontal="center" vertical="center" wrapText="1" readingOrder="1"/>
    </xf>
    <xf numFmtId="14" fontId="68" fillId="7" borderId="47" xfId="0" applyNumberFormat="1" applyFont="1" applyFill="1" applyBorder="1" applyAlignment="1">
      <alignment horizontal="center" vertical="center" wrapText="1" readingOrder="1"/>
    </xf>
    <xf numFmtId="14" fontId="68" fillId="8" borderId="47" xfId="0" applyNumberFormat="1" applyFont="1" applyFill="1" applyBorder="1" applyAlignment="1">
      <alignment horizontal="center" vertical="center" wrapText="1" readingOrder="1"/>
    </xf>
    <xf numFmtId="14" fontId="68" fillId="8" borderId="48" xfId="0" applyNumberFormat="1" applyFont="1" applyFill="1" applyBorder="1" applyAlignment="1">
      <alignment horizontal="center" vertical="center" wrapText="1" readingOrder="1"/>
    </xf>
    <xf numFmtId="165" fontId="69" fillId="0" borderId="60" xfId="0" applyNumberFormat="1" applyFont="1" applyBorder="1" applyAlignment="1">
      <alignment horizontal="center" vertical="center"/>
    </xf>
    <xf numFmtId="0" fontId="67" fillId="8" borderId="47" xfId="0" applyFont="1" applyFill="1" applyBorder="1" applyAlignment="1">
      <alignment horizontal="center" vertical="center" wrapText="1" readingOrder="1"/>
    </xf>
    <xf numFmtId="0" fontId="67" fillId="8" borderId="56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167" fontId="68" fillId="8" borderId="6" xfId="0" applyNumberFormat="1" applyFont="1" applyFill="1" applyBorder="1" applyAlignment="1">
      <alignment horizontal="center" vertical="center" wrapText="1"/>
    </xf>
    <xf numFmtId="169" fontId="63" fillId="0" borderId="100" xfId="4" applyNumberFormat="1" applyBorder="1" applyAlignment="1">
      <alignment horizontal="left" vertical="center" wrapText="1" indent="1" readingOrder="1"/>
    </xf>
    <xf numFmtId="169" fontId="63" fillId="0" borderId="100" xfId="4" applyNumberFormat="1" applyBorder="1" applyAlignment="1">
      <alignment horizontal="left" vertical="center" wrapText="1" indent="1"/>
    </xf>
    <xf numFmtId="0" fontId="63" fillId="0" borderId="100" xfId="4" applyBorder="1" applyAlignment="1">
      <alignment horizontal="left" vertical="center" wrapText="1" indent="1"/>
    </xf>
    <xf numFmtId="167" fontId="11" fillId="0" borderId="46" xfId="0" applyNumberFormat="1" applyFont="1" applyBorder="1"/>
    <xf numFmtId="0" fontId="32" fillId="0" borderId="46" xfId="0" applyFont="1" applyBorder="1"/>
    <xf numFmtId="0" fontId="32" fillId="0" borderId="46" xfId="0" applyFont="1" applyBorder="1" applyAlignment="1">
      <alignment vertical="center"/>
    </xf>
    <xf numFmtId="0" fontId="32" fillId="0" borderId="46" xfId="0" applyFont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0" fontId="75" fillId="0" borderId="37" xfId="0" applyFont="1" applyBorder="1" applyAlignment="1">
      <alignment horizontal="center" vertical="center" wrapText="1"/>
    </xf>
    <xf numFmtId="0" fontId="32" fillId="0" borderId="26" xfId="0" applyFont="1" applyBorder="1" applyAlignment="1">
      <alignment vertical="center"/>
    </xf>
    <xf numFmtId="0" fontId="32" fillId="0" borderId="42" xfId="0" applyFont="1" applyBorder="1" applyAlignment="1">
      <alignment vertical="center"/>
    </xf>
    <xf numFmtId="0" fontId="77" fillId="0" borderId="44" xfId="0" applyFont="1" applyBorder="1"/>
    <xf numFmtId="0" fontId="32" fillId="0" borderId="0" xfId="0" applyFont="1" applyAlignment="1">
      <alignment vertical="center" wrapText="1"/>
    </xf>
    <xf numFmtId="0" fontId="77" fillId="0" borderId="6" xfId="0" applyFont="1" applyBorder="1"/>
    <xf numFmtId="0" fontId="32" fillId="0" borderId="6" xfId="0" applyFont="1" applyBorder="1"/>
    <xf numFmtId="0" fontId="32" fillId="0" borderId="42" xfId="0" applyFont="1" applyBorder="1"/>
    <xf numFmtId="0" fontId="77" fillId="0" borderId="26" xfId="0" applyFont="1" applyBorder="1"/>
    <xf numFmtId="0" fontId="78" fillId="0" borderId="0" xfId="0" applyFont="1"/>
    <xf numFmtId="0" fontId="79" fillId="0" borderId="6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78" fillId="0" borderId="6" xfId="0" applyFont="1" applyBorder="1"/>
    <xf numFmtId="0" fontId="32" fillId="0" borderId="44" xfId="0" applyFont="1" applyBorder="1"/>
    <xf numFmtId="0" fontId="77" fillId="0" borderId="38" xfId="0" applyFont="1" applyBorder="1"/>
    <xf numFmtId="0" fontId="78" fillId="0" borderId="46" xfId="0" applyFont="1" applyBorder="1"/>
    <xf numFmtId="0" fontId="78" fillId="0" borderId="62" xfId="0" applyFont="1" applyBorder="1"/>
    <xf numFmtId="0" fontId="79" fillId="0" borderId="54" xfId="0" applyFont="1" applyBorder="1" applyAlignment="1">
      <alignment vertical="center" wrapText="1"/>
    </xf>
    <xf numFmtId="0" fontId="0" fillId="0" borderId="42" xfId="0" applyBorder="1"/>
    <xf numFmtId="166" fontId="67" fillId="18" borderId="55" xfId="0" applyNumberFormat="1" applyFont="1" applyFill="1" applyBorder="1" applyAlignment="1">
      <alignment horizontal="center" vertical="center"/>
    </xf>
    <xf numFmtId="166" fontId="67" fillId="15" borderId="54" xfId="0" applyNumberFormat="1" applyFont="1" applyFill="1" applyBorder="1" applyAlignment="1">
      <alignment horizontal="center" vertical="center" wrapText="1" readingOrder="1"/>
    </xf>
    <xf numFmtId="166" fontId="67" fillId="24" borderId="47" xfId="0" applyNumberFormat="1" applyFont="1" applyFill="1" applyBorder="1" applyAlignment="1">
      <alignment horizontal="center" vertical="center"/>
    </xf>
    <xf numFmtId="166" fontId="67" fillId="24" borderId="47" xfId="0" applyNumberFormat="1" applyFont="1" applyFill="1" applyBorder="1" applyAlignment="1">
      <alignment horizontal="center" vertical="center" wrapText="1" readingOrder="1"/>
    </xf>
    <xf numFmtId="166" fontId="68" fillId="9" borderId="47" xfId="0" applyNumberFormat="1" applyFont="1" applyFill="1" applyBorder="1" applyAlignment="1">
      <alignment horizontal="center" vertical="center"/>
    </xf>
    <xf numFmtId="166" fontId="67" fillId="0" borderId="47" xfId="0" applyNumberFormat="1" applyFont="1" applyBorder="1" applyAlignment="1">
      <alignment horizontal="center" vertical="center" wrapText="1" readingOrder="1"/>
    </xf>
    <xf numFmtId="166" fontId="64" fillId="15" borderId="108" xfId="0" applyNumberFormat="1" applyFont="1" applyFill="1" applyBorder="1" applyAlignment="1">
      <alignment horizontal="right" vertical="center" wrapText="1" readingOrder="1"/>
    </xf>
    <xf numFmtId="166" fontId="67" fillId="0" borderId="52" xfId="0" applyNumberFormat="1" applyFont="1" applyBorder="1" applyAlignment="1">
      <alignment horizontal="center" vertical="center" wrapText="1" readingOrder="1"/>
    </xf>
    <xf numFmtId="3" fontId="68" fillId="0" borderId="47" xfId="0" applyNumberFormat="1" applyFont="1" applyBorder="1" applyAlignment="1">
      <alignment horizontal="center" vertical="center" wrapText="1"/>
    </xf>
    <xf numFmtId="0" fontId="68" fillId="0" borderId="50" xfId="0" applyFont="1" applyBorder="1" applyAlignment="1">
      <alignment horizontal="center" vertical="center" wrapText="1"/>
    </xf>
    <xf numFmtId="0" fontId="69" fillId="0" borderId="7" xfId="0" applyFont="1" applyBorder="1" applyAlignment="1">
      <alignment horizontal="center" vertical="center" wrapText="1"/>
    </xf>
    <xf numFmtId="0" fontId="67" fillId="13" borderId="6" xfId="0" applyFont="1" applyFill="1" applyBorder="1" applyAlignment="1">
      <alignment horizontal="center" vertical="center" wrapText="1"/>
    </xf>
    <xf numFmtId="0" fontId="67" fillId="13" borderId="120" xfId="0" applyFont="1" applyFill="1" applyBorder="1" applyAlignment="1">
      <alignment horizontal="center" vertical="center" wrapText="1"/>
    </xf>
    <xf numFmtId="0" fontId="67" fillId="13" borderId="58" xfId="0" applyFont="1" applyFill="1" applyBorder="1" applyAlignment="1">
      <alignment horizontal="center" vertical="center" wrapText="1"/>
    </xf>
    <xf numFmtId="0" fontId="72" fillId="21" borderId="6" xfId="0" applyFont="1" applyFill="1" applyBorder="1" applyAlignment="1">
      <alignment horizontal="center" vertical="center" wrapText="1"/>
    </xf>
    <xf numFmtId="0" fontId="72" fillId="21" borderId="50" xfId="0" applyFont="1" applyFill="1" applyBorder="1" applyAlignment="1">
      <alignment horizontal="center" vertical="center" wrapText="1"/>
    </xf>
    <xf numFmtId="0" fontId="69" fillId="0" borderId="68" xfId="0" applyFont="1" applyBorder="1" applyAlignment="1">
      <alignment horizontal="center" vertical="center" wrapText="1"/>
    </xf>
    <xf numFmtId="166" fontId="72" fillId="21" borderId="52" xfId="0" applyNumberFormat="1" applyFont="1" applyFill="1" applyBorder="1" applyAlignment="1">
      <alignment horizontal="center" vertical="center" wrapText="1"/>
    </xf>
    <xf numFmtId="166" fontId="67" fillId="13" borderId="58" xfId="0" applyNumberFormat="1" applyFont="1" applyFill="1" applyBorder="1" applyAlignment="1">
      <alignment horizontal="center" vertical="center" wrapText="1"/>
    </xf>
    <xf numFmtId="0" fontId="69" fillId="14" borderId="44" xfId="0" applyFont="1" applyFill="1" applyBorder="1" applyAlignment="1">
      <alignment horizontal="center" vertical="center" wrapText="1"/>
    </xf>
    <xf numFmtId="0" fontId="81" fillId="0" borderId="81" xfId="0" applyFont="1" applyBorder="1"/>
    <xf numFmtId="0" fontId="82" fillId="52" borderId="124" xfId="0" applyFont="1" applyFill="1" applyBorder="1" applyAlignment="1">
      <alignment horizontal="left" vertical="center" wrapText="1" indent="1"/>
    </xf>
    <xf numFmtId="0" fontId="43" fillId="0" borderId="126" xfId="0" applyFont="1" applyBorder="1" applyAlignment="1">
      <alignment horizontal="left" vertical="center" wrapText="1" indent="1"/>
    </xf>
    <xf numFmtId="0" fontId="43" fillId="0" borderId="126" xfId="0" applyFont="1" applyBorder="1" applyAlignment="1">
      <alignment wrapText="1"/>
    </xf>
    <xf numFmtId="0" fontId="60" fillId="0" borderId="126" xfId="0" applyFont="1" applyBorder="1" applyAlignment="1">
      <alignment vertical="center"/>
    </xf>
    <xf numFmtId="0" fontId="83" fillId="33" borderId="130" xfId="0" applyFont="1" applyFill="1" applyBorder="1" applyAlignment="1">
      <alignment horizontal="left" vertical="center" wrapText="1" indent="1"/>
    </xf>
    <xf numFmtId="0" fontId="83" fillId="33" borderId="131" xfId="0" applyFont="1" applyFill="1" applyBorder="1" applyAlignment="1">
      <alignment horizontal="left" vertical="center" wrapText="1" indent="1"/>
    </xf>
    <xf numFmtId="0" fontId="83" fillId="33" borderId="132" xfId="0" applyFont="1" applyFill="1" applyBorder="1" applyAlignment="1">
      <alignment horizontal="left" vertical="center" wrapText="1" indent="1"/>
    </xf>
    <xf numFmtId="0" fontId="83" fillId="26" borderId="103" xfId="0" applyFont="1" applyFill="1" applyBorder="1" applyAlignment="1">
      <alignment horizontal="left" vertical="center" wrapText="1" indent="1"/>
    </xf>
    <xf numFmtId="0" fontId="83" fillId="26" borderId="133" xfId="0" applyFont="1" applyFill="1" applyBorder="1" applyAlignment="1">
      <alignment horizontal="center" vertical="center" wrapText="1"/>
    </xf>
    <xf numFmtId="0" fontId="40" fillId="36" borderId="100" xfId="0" applyFont="1" applyFill="1" applyBorder="1" applyAlignment="1">
      <alignment horizontal="left" vertical="center" wrapText="1" indent="1"/>
    </xf>
    <xf numFmtId="0" fontId="40" fillId="33" borderId="134" xfId="0" applyFont="1" applyFill="1" applyBorder="1" applyAlignment="1">
      <alignment horizontal="left" vertical="center" wrapText="1" indent="1"/>
    </xf>
    <xf numFmtId="0" fontId="60" fillId="36" borderId="135" xfId="0" applyFont="1" applyFill="1" applyBorder="1" applyAlignment="1">
      <alignment horizontal="left" vertical="center" wrapText="1" indent="1"/>
    </xf>
    <xf numFmtId="0" fontId="40" fillId="0" borderId="105" xfId="0" applyFont="1" applyBorder="1" applyAlignment="1">
      <alignment horizontal="left" vertical="center" wrapText="1" indent="1"/>
    </xf>
    <xf numFmtId="0" fontId="40" fillId="52" borderId="100" xfId="0" applyFont="1" applyFill="1" applyBorder="1" applyAlignment="1">
      <alignment horizontal="left" vertical="center" wrapText="1" indent="1"/>
    </xf>
    <xf numFmtId="0" fontId="60" fillId="52" borderId="135" xfId="0" applyFont="1" applyFill="1" applyBorder="1" applyAlignment="1">
      <alignment horizontal="left" vertical="center" wrapText="1" indent="1"/>
    </xf>
    <xf numFmtId="0" fontId="84" fillId="0" borderId="136" xfId="0" applyFont="1" applyBorder="1" applyAlignment="1">
      <alignment horizontal="center" vertical="center" wrapText="1"/>
    </xf>
    <xf numFmtId="0" fontId="40" fillId="36" borderId="134" xfId="0" applyFont="1" applyFill="1" applyBorder="1" applyAlignment="1">
      <alignment horizontal="left" vertical="center" wrapText="1" indent="1"/>
    </xf>
    <xf numFmtId="0" fontId="40" fillId="52" borderId="134" xfId="0" applyFont="1" applyFill="1" applyBorder="1" applyAlignment="1">
      <alignment horizontal="left" vertical="center" wrapText="1" indent="1"/>
    </xf>
    <xf numFmtId="0" fontId="40" fillId="54" borderId="100" xfId="0" applyFont="1" applyFill="1" applyBorder="1" applyAlignment="1">
      <alignment horizontal="left" vertical="center" wrapText="1" indent="1"/>
    </xf>
    <xf numFmtId="0" fontId="40" fillId="0" borderId="137" xfId="0" applyFont="1" applyBorder="1" applyAlignment="1">
      <alignment horizontal="left" vertical="center" wrapText="1" indent="1"/>
    </xf>
    <xf numFmtId="0" fontId="40" fillId="36" borderId="137" xfId="0" applyFont="1" applyFill="1" applyBorder="1" applyAlignment="1">
      <alignment horizontal="left" vertical="center" wrapText="1" indent="1"/>
    </xf>
    <xf numFmtId="0" fontId="40" fillId="36" borderId="138" xfId="0" applyFont="1" applyFill="1" applyBorder="1" applyAlignment="1">
      <alignment horizontal="left" vertical="center" wrapText="1" indent="1"/>
    </xf>
    <xf numFmtId="0" fontId="60" fillId="36" borderId="139" xfId="0" applyFont="1" applyFill="1" applyBorder="1" applyAlignment="1">
      <alignment horizontal="left" vertical="center" wrapText="1" indent="1"/>
    </xf>
    <xf numFmtId="0" fontId="40" fillId="0" borderId="140" xfId="0" applyFont="1" applyBorder="1" applyAlignment="1">
      <alignment horizontal="left" vertical="center" wrapText="1" indent="1"/>
    </xf>
    <xf numFmtId="0" fontId="40" fillId="52" borderId="137" xfId="0" applyFont="1" applyFill="1" applyBorder="1" applyAlignment="1">
      <alignment horizontal="left" vertical="center" wrapText="1" indent="1"/>
    </xf>
    <xf numFmtId="0" fontId="40" fillId="52" borderId="138" xfId="0" applyFont="1" applyFill="1" applyBorder="1" applyAlignment="1">
      <alignment horizontal="left" vertical="center" wrapText="1" indent="1"/>
    </xf>
    <xf numFmtId="0" fontId="60" fillId="52" borderId="139" xfId="0" applyFont="1" applyFill="1" applyBorder="1" applyAlignment="1">
      <alignment horizontal="left" vertical="center" wrapText="1" indent="1"/>
    </xf>
    <xf numFmtId="0" fontId="85" fillId="0" borderId="81" xfId="0" applyFont="1" applyBorder="1"/>
    <xf numFmtId="0" fontId="87" fillId="55" borderId="141" xfId="0" applyFont="1" applyFill="1" applyBorder="1" applyAlignment="1">
      <alignment horizontal="center" vertical="center"/>
    </xf>
    <xf numFmtId="0" fontId="87" fillId="55" borderId="144" xfId="0" applyFont="1" applyFill="1" applyBorder="1" applyAlignment="1">
      <alignment horizontal="center" vertical="center" wrapText="1"/>
    </xf>
    <xf numFmtId="9" fontId="92" fillId="56" borderId="159" xfId="0" applyNumberFormat="1" applyFont="1" applyFill="1" applyBorder="1" applyAlignment="1">
      <alignment horizontal="center" vertical="center"/>
    </xf>
    <xf numFmtId="9" fontId="92" fillId="56" borderId="161" xfId="0" applyNumberFormat="1" applyFont="1" applyFill="1" applyBorder="1" applyAlignment="1">
      <alignment horizontal="center" vertical="center"/>
    </xf>
    <xf numFmtId="0" fontId="92" fillId="56" borderId="162" xfId="0" applyFont="1" applyFill="1" applyBorder="1" applyAlignment="1">
      <alignment horizontal="center" vertical="center"/>
    </xf>
    <xf numFmtId="0" fontId="92" fillId="56" borderId="163" xfId="0" applyFont="1" applyFill="1" applyBorder="1" applyAlignment="1">
      <alignment horizontal="center" vertical="center"/>
    </xf>
    <xf numFmtId="0" fontId="93" fillId="55" borderId="141" xfId="0" applyFont="1" applyFill="1" applyBorder="1" applyAlignment="1">
      <alignment horizontal="center" vertical="center"/>
    </xf>
    <xf numFmtId="0" fontId="93" fillId="55" borderId="149" xfId="0" applyFont="1" applyFill="1" applyBorder="1" applyAlignment="1">
      <alignment horizontal="center" vertical="center" wrapText="1"/>
    </xf>
    <xf numFmtId="0" fontId="94" fillId="55" borderId="150" xfId="0" applyFont="1" applyFill="1" applyBorder="1" applyAlignment="1">
      <alignment horizontal="center" vertical="center" wrapText="1"/>
    </xf>
    <xf numFmtId="0" fontId="94" fillId="55" borderId="151" xfId="0" applyFont="1" applyFill="1" applyBorder="1" applyAlignment="1">
      <alignment horizontal="center" vertical="center" wrapText="1"/>
    </xf>
    <xf numFmtId="0" fontId="95" fillId="60" borderId="164" xfId="0" applyFont="1" applyFill="1" applyBorder="1"/>
    <xf numFmtId="0" fontId="95" fillId="51" borderId="165" xfId="0" applyFont="1" applyFill="1" applyBorder="1"/>
    <xf numFmtId="0" fontId="95" fillId="46" borderId="166" xfId="0" applyFont="1" applyFill="1" applyBorder="1"/>
    <xf numFmtId="0" fontId="23" fillId="0" borderId="0" xfId="0" applyFont="1"/>
    <xf numFmtId="0" fontId="23" fillId="0" borderId="0" xfId="0" applyFont="1" applyAlignment="1">
      <alignment horizontal="center"/>
    </xf>
    <xf numFmtId="166" fontId="23" fillId="0" borderId="0" xfId="0" applyNumberFormat="1" applyFont="1" applyAlignment="1">
      <alignment vertical="center" wrapText="1"/>
    </xf>
    <xf numFmtId="166" fontId="23" fillId="0" borderId="0" xfId="0" applyNumberFormat="1" applyFont="1" applyAlignment="1">
      <alignment horizontal="center" vertical="center"/>
    </xf>
    <xf numFmtId="0" fontId="97" fillId="64" borderId="5" xfId="0" applyFont="1" applyFill="1" applyBorder="1" applyAlignment="1">
      <alignment horizontal="left" vertical="center" wrapText="1" readingOrder="1"/>
    </xf>
    <xf numFmtId="0" fontId="97" fillId="64" borderId="6" xfId="0" applyFont="1" applyFill="1" applyBorder="1" applyAlignment="1">
      <alignment horizontal="left" vertical="center" wrapText="1" readingOrder="1"/>
    </xf>
    <xf numFmtId="0" fontId="97" fillId="65" borderId="6" xfId="0" applyFont="1" applyFill="1" applyBorder="1" applyAlignment="1">
      <alignment horizontal="center" vertical="center" wrapText="1"/>
    </xf>
    <xf numFmtId="166" fontId="97" fillId="65" borderId="6" xfId="0" applyNumberFormat="1" applyFont="1" applyFill="1" applyBorder="1" applyAlignment="1">
      <alignment vertical="center" wrapText="1"/>
    </xf>
    <xf numFmtId="166" fontId="97" fillId="66" borderId="108" xfId="0" applyNumberFormat="1" applyFont="1" applyFill="1" applyBorder="1" applyAlignment="1">
      <alignment horizontal="center" vertical="center" wrapText="1" readingOrder="1"/>
    </xf>
    <xf numFmtId="0" fontId="98" fillId="0" borderId="5" xfId="0" applyFont="1" applyBorder="1" applyAlignment="1">
      <alignment horizontal="left" vertical="center" wrapText="1" readingOrder="1"/>
    </xf>
    <xf numFmtId="0" fontId="98" fillId="0" borderId="6" xfId="0" applyFont="1" applyBorder="1" applyAlignment="1">
      <alignment horizontal="left" vertical="center" wrapText="1" readingOrder="1"/>
    </xf>
    <xf numFmtId="14" fontId="98" fillId="67" borderId="6" xfId="0" applyNumberFormat="1" applyFont="1" applyFill="1" applyBorder="1" applyAlignment="1">
      <alignment horizontal="center" vertical="center" wrapText="1" readingOrder="1"/>
    </xf>
    <xf numFmtId="14" fontId="98" fillId="0" borderId="6" xfId="0" applyNumberFormat="1" applyFont="1" applyBorder="1" applyAlignment="1">
      <alignment horizontal="center" vertical="center" wrapText="1" readingOrder="1"/>
    </xf>
    <xf numFmtId="170" fontId="98" fillId="0" borderId="6" xfId="0" applyNumberFormat="1" applyFont="1" applyBorder="1" applyAlignment="1">
      <alignment vertical="center" wrapText="1" readingOrder="1"/>
    </xf>
    <xf numFmtId="0" fontId="98" fillId="0" borderId="6" xfId="0" applyFont="1" applyBorder="1" applyAlignment="1">
      <alignment horizontal="center" vertical="center" wrapText="1"/>
    </xf>
    <xf numFmtId="167" fontId="98" fillId="68" borderId="6" xfId="0" applyNumberFormat="1" applyFont="1" applyFill="1" applyBorder="1" applyAlignment="1">
      <alignment horizontal="center" vertical="center" wrapText="1"/>
    </xf>
    <xf numFmtId="167" fontId="98" fillId="0" borderId="108" xfId="0" applyNumberFormat="1" applyFont="1" applyBorder="1" applyAlignment="1">
      <alignment horizontal="center" vertical="center" wrapText="1" readingOrder="1"/>
    </xf>
    <xf numFmtId="0" fontId="98" fillId="69" borderId="5" xfId="0" applyFont="1" applyFill="1" applyBorder="1" applyAlignment="1">
      <alignment horizontal="left" vertical="center" wrapText="1" readingOrder="1"/>
    </xf>
    <xf numFmtId="0" fontId="98" fillId="69" borderId="6" xfId="0" applyFont="1" applyFill="1" applyBorder="1" applyAlignment="1">
      <alignment horizontal="left" vertical="center" wrapText="1" readingOrder="1"/>
    </xf>
    <xf numFmtId="170" fontId="98" fillId="0" borderId="6" xfId="0" applyNumberFormat="1" applyFont="1" applyBorder="1" applyAlignment="1">
      <alignment horizontal="center" vertical="center" wrapText="1" readingOrder="1"/>
    </xf>
    <xf numFmtId="0" fontId="98" fillId="0" borderId="5" xfId="0" applyFont="1" applyBorder="1" applyAlignment="1">
      <alignment horizontal="left" vertical="center" wrapText="1"/>
    </xf>
    <xf numFmtId="0" fontId="98" fillId="0" borderId="5" xfId="0" applyFont="1" applyBorder="1" applyAlignment="1">
      <alignment vertical="center" wrapText="1" readingOrder="1"/>
    </xf>
    <xf numFmtId="0" fontId="98" fillId="0" borderId="6" xfId="0" applyFont="1" applyBorder="1" applyAlignment="1">
      <alignment vertical="center" wrapText="1" readingOrder="1"/>
    </xf>
    <xf numFmtId="0" fontId="97" fillId="64" borderId="109" xfId="0" applyFont="1" applyFill="1" applyBorder="1" applyAlignment="1">
      <alignment horizontal="left" vertical="center" wrapText="1" readingOrder="1"/>
    </xf>
    <xf numFmtId="0" fontId="97" fillId="64" borderId="54" xfId="0" applyFont="1" applyFill="1" applyBorder="1" applyAlignment="1">
      <alignment horizontal="left" vertical="center" wrapText="1" readingOrder="1"/>
    </xf>
    <xf numFmtId="14" fontId="98" fillId="67" borderId="12" xfId="0" applyNumberFormat="1" applyFont="1" applyFill="1" applyBorder="1" applyAlignment="1">
      <alignment horizontal="center" vertical="center" wrapText="1" readingOrder="1"/>
    </xf>
    <xf numFmtId="167" fontId="98" fillId="0" borderId="6" xfId="0" applyNumberFormat="1" applyFont="1" applyBorder="1" applyAlignment="1">
      <alignment horizontal="center" vertical="center" wrapText="1"/>
    </xf>
    <xf numFmtId="0" fontId="98" fillId="67" borderId="5" xfId="0" applyFont="1" applyFill="1" applyBorder="1" applyAlignment="1">
      <alignment vertical="center" wrapText="1" readingOrder="1"/>
    </xf>
    <xf numFmtId="0" fontId="98" fillId="67" borderId="6" xfId="0" applyFont="1" applyFill="1" applyBorder="1" applyAlignment="1">
      <alignment vertical="center" wrapText="1" readingOrder="1"/>
    </xf>
    <xf numFmtId="0" fontId="98" fillId="0" borderId="5" xfId="0" applyFont="1" applyBorder="1" applyAlignment="1">
      <alignment vertical="center" wrapText="1"/>
    </xf>
    <xf numFmtId="0" fontId="98" fillId="0" borderId="6" xfId="0" applyFont="1" applyBorder="1" applyAlignment="1">
      <alignment vertical="center" wrapText="1"/>
    </xf>
    <xf numFmtId="0" fontId="97" fillId="65" borderId="54" xfId="0" applyFont="1" applyFill="1" applyBorder="1" applyAlignment="1">
      <alignment horizontal="center" vertical="center" wrapText="1"/>
    </xf>
    <xf numFmtId="166" fontId="97" fillId="65" borderId="54" xfId="0" applyNumberFormat="1" applyFont="1" applyFill="1" applyBorder="1" applyAlignment="1">
      <alignment vertical="center" wrapText="1"/>
    </xf>
    <xf numFmtId="166" fontId="97" fillId="66" borderId="111" xfId="0" applyNumberFormat="1" applyFont="1" applyFill="1" applyBorder="1" applyAlignment="1">
      <alignment horizontal="center" vertical="center" wrapText="1" readingOrder="1"/>
    </xf>
    <xf numFmtId="0" fontId="98" fillId="0" borderId="6" xfId="0" applyFont="1" applyBorder="1" applyAlignment="1">
      <alignment horizontal="left" vertical="center" wrapText="1"/>
    </xf>
    <xf numFmtId="0" fontId="98" fillId="0" borderId="6" xfId="0" applyFont="1" applyBorder="1" applyAlignment="1">
      <alignment horizontal="left" vertical="center"/>
    </xf>
    <xf numFmtId="0" fontId="98" fillId="0" borderId="5" xfId="0" applyFont="1" applyBorder="1" applyAlignment="1">
      <alignment horizontal="left" vertical="center"/>
    </xf>
    <xf numFmtId="0" fontId="98" fillId="0" borderId="56" xfId="0" applyFont="1" applyBorder="1" applyAlignment="1">
      <alignment horizontal="left" vertical="center" wrapText="1" readingOrder="1"/>
    </xf>
    <xf numFmtId="0" fontId="98" fillId="0" borderId="113" xfId="0" applyFont="1" applyBorder="1" applyAlignment="1">
      <alignment horizontal="left" vertical="center" wrapText="1" readingOrder="1"/>
    </xf>
    <xf numFmtId="0" fontId="98" fillId="0" borderId="54" xfId="0" applyFont="1" applyBorder="1" applyAlignment="1">
      <alignment horizontal="left" vertical="center" wrapText="1" readingOrder="1"/>
    </xf>
    <xf numFmtId="0" fontId="98" fillId="0" borderId="109" xfId="0" applyFont="1" applyBorder="1" applyAlignment="1">
      <alignment horizontal="left" vertical="center" wrapText="1"/>
    </xf>
    <xf numFmtId="0" fontId="98" fillId="0" borderId="54" xfId="0" applyFont="1" applyBorder="1" applyAlignment="1">
      <alignment vertical="center" wrapText="1"/>
    </xf>
    <xf numFmtId="14" fontId="98" fillId="67" borderId="54" xfId="0" applyNumberFormat="1" applyFont="1" applyFill="1" applyBorder="1" applyAlignment="1">
      <alignment horizontal="center" vertical="center" wrapText="1" readingOrder="1"/>
    </xf>
    <xf numFmtId="170" fontId="98" fillId="0" borderId="54" xfId="0" applyNumberFormat="1" applyFont="1" applyBorder="1" applyAlignment="1">
      <alignment horizontal="center" vertical="center" wrapText="1" readingOrder="1"/>
    </xf>
    <xf numFmtId="0" fontId="98" fillId="0" borderId="54" xfId="0" applyFont="1" applyBorder="1" applyAlignment="1">
      <alignment horizontal="center" vertical="center" wrapText="1"/>
    </xf>
    <xf numFmtId="167" fontId="98" fillId="0" borderId="54" xfId="0" applyNumberFormat="1" applyFont="1" applyBorder="1" applyAlignment="1">
      <alignment horizontal="center" vertical="center" wrapText="1" readingOrder="1"/>
    </xf>
    <xf numFmtId="167" fontId="98" fillId="0" borderId="111" xfId="0" applyNumberFormat="1" applyFont="1" applyBorder="1" applyAlignment="1">
      <alignment horizontal="center" vertical="center" wrapText="1" readingOrder="1"/>
    </xf>
    <xf numFmtId="0" fontId="97" fillId="70" borderId="23" xfId="0" applyFont="1" applyFill="1" applyBorder="1" applyAlignment="1">
      <alignment vertical="center"/>
    </xf>
    <xf numFmtId="0" fontId="98" fillId="70" borderId="115" xfId="0" applyFont="1" applyFill="1" applyBorder="1"/>
    <xf numFmtId="0" fontId="98" fillId="70" borderId="24" xfId="0" applyFont="1" applyFill="1" applyBorder="1"/>
    <xf numFmtId="0" fontId="98" fillId="70" borderId="24" xfId="0" applyFont="1" applyFill="1" applyBorder="1" applyAlignment="1">
      <alignment horizontal="center"/>
    </xf>
    <xf numFmtId="166" fontId="98" fillId="70" borderId="25" xfId="0" applyNumberFormat="1" applyFont="1" applyFill="1" applyBorder="1" applyAlignment="1">
      <alignment vertical="center" wrapText="1"/>
    </xf>
    <xf numFmtId="167" fontId="97" fillId="70" borderId="28" xfId="0" applyNumberFormat="1" applyFont="1" applyFill="1" applyBorder="1" applyAlignment="1">
      <alignment horizontal="center" vertical="center" wrapText="1" readingOrder="1"/>
    </xf>
    <xf numFmtId="0" fontId="97" fillId="70" borderId="19" xfId="0" applyFont="1" applyFill="1" applyBorder="1" applyAlignment="1">
      <alignment vertical="center"/>
    </xf>
    <xf numFmtId="0" fontId="98" fillId="70" borderId="116" xfId="0" applyFont="1" applyFill="1" applyBorder="1"/>
    <xf numFmtId="0" fontId="98" fillId="70" borderId="1" xfId="0" applyFont="1" applyFill="1" applyBorder="1"/>
    <xf numFmtId="0" fontId="98" fillId="70" borderId="1" xfId="0" applyFont="1" applyFill="1" applyBorder="1" applyAlignment="1">
      <alignment horizontal="center"/>
    </xf>
    <xf numFmtId="166" fontId="98" fillId="70" borderId="1" xfId="0" applyNumberFormat="1" applyFont="1" applyFill="1" applyBorder="1" applyAlignment="1">
      <alignment vertical="center" wrapText="1"/>
    </xf>
    <xf numFmtId="167" fontId="97" fillId="70" borderId="114" xfId="0" applyNumberFormat="1" applyFont="1" applyFill="1" applyBorder="1" applyAlignment="1">
      <alignment horizontal="center" vertical="center" wrapText="1" readingOrder="1"/>
    </xf>
    <xf numFmtId="166" fontId="98" fillId="70" borderId="24" xfId="0" applyNumberFormat="1" applyFont="1" applyFill="1" applyBorder="1" applyAlignment="1">
      <alignment vertical="center" wrapText="1"/>
    </xf>
    <xf numFmtId="167" fontId="97" fillId="71" borderId="114" xfId="0" applyNumberFormat="1" applyFont="1" applyFill="1" applyBorder="1" applyAlignment="1">
      <alignment horizontal="center" vertical="center" wrapText="1" readingOrder="1"/>
    </xf>
    <xf numFmtId="0" fontId="97" fillId="64" borderId="152" xfId="0" applyFont="1" applyFill="1" applyBorder="1" applyAlignment="1">
      <alignment horizontal="center" vertical="center" wrapText="1" readingOrder="1"/>
    </xf>
    <xf numFmtId="0" fontId="97" fillId="64" borderId="47" xfId="0" applyFont="1" applyFill="1" applyBorder="1" applyAlignment="1">
      <alignment horizontal="center" vertical="center" wrapText="1" readingOrder="1"/>
    </xf>
    <xf numFmtId="0" fontId="97" fillId="65" borderId="47" xfId="0" applyFont="1" applyFill="1" applyBorder="1" applyAlignment="1">
      <alignment horizontal="center" vertical="center" wrapText="1"/>
    </xf>
    <xf numFmtId="166" fontId="97" fillId="65" borderId="47" xfId="0" applyNumberFormat="1" applyFont="1" applyFill="1" applyBorder="1" applyAlignment="1">
      <alignment horizontal="center" vertical="center" wrapText="1"/>
    </xf>
    <xf numFmtId="166" fontId="97" fillId="66" borderId="153" xfId="0" applyNumberFormat="1" applyFont="1" applyFill="1" applyBorder="1" applyAlignment="1">
      <alignment horizontal="center" vertical="center" wrapText="1" readingOrder="1"/>
    </xf>
    <xf numFmtId="0" fontId="98" fillId="0" borderId="152" xfId="0" applyFont="1" applyBorder="1" applyAlignment="1">
      <alignment horizontal="left" vertical="center"/>
    </xf>
    <xf numFmtId="0" fontId="98" fillId="0" borderId="47" xfId="0" applyFont="1" applyBorder="1" applyAlignment="1">
      <alignment horizontal="left" vertical="center" wrapText="1" readingOrder="1"/>
    </xf>
    <xf numFmtId="14" fontId="98" fillId="67" borderId="47" xfId="0" applyNumberFormat="1" applyFont="1" applyFill="1" applyBorder="1" applyAlignment="1">
      <alignment horizontal="center" vertical="center" wrapText="1" readingOrder="1"/>
    </xf>
    <xf numFmtId="14" fontId="98" fillId="0" borderId="47" xfId="0" applyNumberFormat="1" applyFont="1" applyBorder="1" applyAlignment="1">
      <alignment horizontal="center" vertical="center" wrapText="1" readingOrder="1"/>
    </xf>
    <xf numFmtId="0" fontId="0" fillId="0" borderId="47" xfId="0" applyBorder="1"/>
    <xf numFmtId="0" fontId="98" fillId="0" borderId="47" xfId="0" applyFont="1" applyBorder="1" applyAlignment="1">
      <alignment horizontal="center" vertical="center" wrapText="1"/>
    </xf>
    <xf numFmtId="167" fontId="98" fillId="0" borderId="47" xfId="0" applyNumberFormat="1" applyFont="1" applyBorder="1" applyAlignment="1">
      <alignment horizontal="center" vertical="center" wrapText="1" readingOrder="1"/>
    </xf>
    <xf numFmtId="167" fontId="98" fillId="0" borderId="153" xfId="0" applyNumberFormat="1" applyFont="1" applyBorder="1" applyAlignment="1">
      <alignment horizontal="center" vertical="center" wrapText="1" readingOrder="1"/>
    </xf>
    <xf numFmtId="0" fontId="98" fillId="0" borderId="152" xfId="0" applyFont="1" applyBorder="1" applyAlignment="1">
      <alignment horizontal="left" vertical="center" wrapText="1" readingOrder="1"/>
    </xf>
    <xf numFmtId="3" fontId="98" fillId="0" borderId="47" xfId="0" applyNumberFormat="1" applyFont="1" applyBorder="1" applyAlignment="1">
      <alignment horizontal="left" vertical="center" wrapText="1" readingOrder="1"/>
    </xf>
    <xf numFmtId="170" fontId="98" fillId="0" borderId="47" xfId="0" applyNumberFormat="1" applyFont="1" applyBorder="1" applyAlignment="1">
      <alignment horizontal="center" vertical="center" wrapText="1" readingOrder="1"/>
    </xf>
    <xf numFmtId="0" fontId="98" fillId="0" borderId="152" xfId="0" applyFont="1" applyBorder="1" applyAlignment="1">
      <alignment horizontal="left" vertical="center" wrapText="1"/>
    </xf>
    <xf numFmtId="0" fontId="98" fillId="0" borderId="47" xfId="0" applyFont="1" applyBorder="1" applyAlignment="1">
      <alignment vertical="center" wrapText="1"/>
    </xf>
    <xf numFmtId="0" fontId="98" fillId="0" borderId="167" xfId="0" applyFont="1" applyBorder="1" applyAlignment="1">
      <alignment horizontal="left" vertical="center" wrapText="1"/>
    </xf>
    <xf numFmtId="0" fontId="98" fillId="0" borderId="48" xfId="0" applyFont="1" applyBorder="1" applyAlignment="1">
      <alignment vertical="center" wrapText="1"/>
    </xf>
    <xf numFmtId="14" fontId="98" fillId="67" borderId="48" xfId="0" applyNumberFormat="1" applyFont="1" applyFill="1" applyBorder="1" applyAlignment="1">
      <alignment horizontal="center" vertical="center" wrapText="1" readingOrder="1"/>
    </xf>
    <xf numFmtId="14" fontId="98" fillId="0" borderId="48" xfId="0" applyNumberFormat="1" applyFont="1" applyBorder="1" applyAlignment="1">
      <alignment horizontal="center" vertical="center" wrapText="1" readingOrder="1"/>
    </xf>
    <xf numFmtId="170" fontId="98" fillId="0" borderId="48" xfId="0" applyNumberFormat="1" applyFont="1" applyBorder="1" applyAlignment="1">
      <alignment horizontal="center" vertical="center" wrapText="1" readingOrder="1"/>
    </xf>
    <xf numFmtId="0" fontId="98" fillId="0" borderId="48" xfId="0" applyFont="1" applyBorder="1" applyAlignment="1">
      <alignment horizontal="center" vertical="center" wrapText="1"/>
    </xf>
    <xf numFmtId="167" fontId="98" fillId="0" borderId="48" xfId="0" applyNumberFormat="1" applyFont="1" applyBorder="1" applyAlignment="1">
      <alignment horizontal="center" vertical="center" wrapText="1" readingOrder="1"/>
    </xf>
    <xf numFmtId="167" fontId="98" fillId="0" borderId="168" xfId="0" applyNumberFormat="1" applyFont="1" applyBorder="1" applyAlignment="1">
      <alignment horizontal="center" vertical="center" wrapText="1" readingOrder="1"/>
    </xf>
    <xf numFmtId="0" fontId="97" fillId="70" borderId="145" xfId="0" applyFont="1" applyFill="1" applyBorder="1" applyAlignment="1">
      <alignment vertical="center"/>
    </xf>
    <xf numFmtId="0" fontId="97" fillId="70" borderId="146" xfId="0" applyFont="1" applyFill="1" applyBorder="1" applyAlignment="1">
      <alignment vertical="center"/>
    </xf>
    <xf numFmtId="166" fontId="98" fillId="70" borderId="146" xfId="0" applyNumberFormat="1" applyFont="1" applyFill="1" applyBorder="1" applyAlignment="1">
      <alignment horizontal="center" vertical="center" wrapText="1"/>
    </xf>
    <xf numFmtId="171" fontId="97" fillId="70" borderId="147" xfId="0" applyNumberFormat="1" applyFont="1" applyFill="1" applyBorder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vertical="center" wrapText="1"/>
    </xf>
    <xf numFmtId="9" fontId="89" fillId="58" borderId="149" xfId="0" applyNumberFormat="1" applyFont="1" applyFill="1" applyBorder="1" applyAlignment="1">
      <alignment horizontal="center" vertical="center" wrapText="1"/>
    </xf>
    <xf numFmtId="0" fontId="90" fillId="51" borderId="150" xfId="0" applyFont="1" applyFill="1" applyBorder="1" applyAlignment="1">
      <alignment horizontal="center" vertical="center" wrapText="1"/>
    </xf>
    <xf numFmtId="9" fontId="89" fillId="59" borderId="151" xfId="0" applyNumberFormat="1" applyFont="1" applyFill="1" applyBorder="1" applyAlignment="1">
      <alignment horizontal="center" vertical="center" wrapText="1"/>
    </xf>
    <xf numFmtId="0" fontId="90" fillId="60" borderId="152" xfId="0" applyFont="1" applyFill="1" applyBorder="1" applyAlignment="1">
      <alignment horizontal="center" vertical="center" wrapText="1"/>
    </xf>
    <xf numFmtId="9" fontId="89" fillId="61" borderId="47" xfId="0" applyNumberFormat="1" applyFont="1" applyFill="1" applyBorder="1" applyAlignment="1">
      <alignment horizontal="center" vertical="center" wrapText="1"/>
    </xf>
    <xf numFmtId="9" fontId="90" fillId="46" borderId="153" xfId="0" applyNumberFormat="1" applyFont="1" applyFill="1" applyBorder="1" applyAlignment="1">
      <alignment horizontal="center" vertical="center" wrapText="1"/>
    </xf>
    <xf numFmtId="9" fontId="90" fillId="51" borderId="47" xfId="0" applyNumberFormat="1" applyFont="1" applyFill="1" applyBorder="1" applyAlignment="1">
      <alignment horizontal="center" vertical="center" wrapText="1"/>
    </xf>
    <xf numFmtId="9" fontId="89" fillId="59" borderId="153" xfId="0" applyNumberFormat="1" applyFont="1" applyFill="1" applyBorder="1" applyAlignment="1">
      <alignment horizontal="center" vertical="center" wrapText="1"/>
    </xf>
    <xf numFmtId="9" fontId="90" fillId="60" borderId="152" xfId="0" applyNumberFormat="1" applyFont="1" applyFill="1" applyBorder="1" applyAlignment="1">
      <alignment horizontal="center" vertical="center" wrapText="1"/>
    </xf>
    <xf numFmtId="0" fontId="90" fillId="46" borderId="153" xfId="0" applyFont="1" applyFill="1" applyBorder="1" applyAlignment="1">
      <alignment horizontal="center" vertical="center" wrapText="1"/>
    </xf>
    <xf numFmtId="0" fontId="90" fillId="51" borderId="47" xfId="0" applyFont="1" applyFill="1" applyBorder="1" applyAlignment="1">
      <alignment horizontal="center" vertical="center" wrapText="1"/>
    </xf>
    <xf numFmtId="9" fontId="89" fillId="58" borderId="152" xfId="0" applyNumberFormat="1" applyFont="1" applyFill="1" applyBorder="1" applyAlignment="1">
      <alignment horizontal="center" vertical="center" wrapText="1"/>
    </xf>
    <xf numFmtId="9" fontId="32" fillId="57" borderId="148" xfId="0" applyNumberFormat="1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9" fontId="2" fillId="57" borderId="153" xfId="0" applyNumberFormat="1" applyFont="1" applyFill="1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9" fontId="2" fillId="57" borderId="156" xfId="0" applyNumberFormat="1" applyFont="1" applyFill="1" applyBorder="1" applyAlignment="1">
      <alignment horizontal="center" vertical="center" wrapText="1"/>
    </xf>
    <xf numFmtId="0" fontId="92" fillId="0" borderId="152" xfId="0" applyFont="1" applyBorder="1" applyAlignment="1">
      <alignment horizontal="center" vertical="center"/>
    </xf>
    <xf numFmtId="0" fontId="92" fillId="0" borderId="154" xfId="0" applyFont="1" applyBorder="1" applyAlignment="1">
      <alignment horizontal="center" vertical="center"/>
    </xf>
    <xf numFmtId="0" fontId="40" fillId="0" borderId="100" xfId="0" applyFont="1" applyBorder="1" applyAlignment="1">
      <alignment horizontal="left" vertical="top" wrapText="1" indent="1"/>
    </xf>
    <xf numFmtId="0" fontId="99" fillId="0" borderId="14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3" borderId="33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8" fillId="5" borderId="47" xfId="0" applyFont="1" applyFill="1" applyBorder="1" applyAlignment="1">
      <alignment horizontal="center" vertical="center" wrapText="1" readingOrder="1"/>
    </xf>
    <xf numFmtId="0" fontId="19" fillId="14" borderId="50" xfId="0" applyFont="1" applyFill="1" applyBorder="1" applyAlignment="1">
      <alignment horizontal="center"/>
    </xf>
    <xf numFmtId="0" fontId="19" fillId="14" borderId="51" xfId="0" applyFont="1" applyFill="1" applyBorder="1" applyAlignment="1">
      <alignment horizontal="center"/>
    </xf>
    <xf numFmtId="0" fontId="18" fillId="5" borderId="48" xfId="0" applyFont="1" applyFill="1" applyBorder="1" applyAlignment="1">
      <alignment horizontal="center" vertical="center" wrapText="1" readingOrder="1"/>
    </xf>
    <xf numFmtId="0" fontId="18" fillId="5" borderId="53" xfId="0" applyFont="1" applyFill="1" applyBorder="1" applyAlignment="1">
      <alignment horizontal="center" vertical="center" wrapText="1" readingOrder="1"/>
    </xf>
    <xf numFmtId="0" fontId="74" fillId="0" borderId="10" xfId="0" applyFont="1" applyBorder="1" applyAlignment="1">
      <alignment horizontal="center" vertical="center" wrapText="1"/>
    </xf>
    <xf numFmtId="0" fontId="80" fillId="0" borderId="11" xfId="0" applyFont="1" applyBorder="1" applyAlignment="1">
      <alignment vertical="center" wrapText="1"/>
    </xf>
    <xf numFmtId="0" fontId="80" fillId="0" borderId="32" xfId="0" applyFont="1" applyBorder="1" applyAlignment="1">
      <alignment vertical="center" wrapText="1"/>
    </xf>
    <xf numFmtId="0" fontId="80" fillId="0" borderId="13" xfId="0" applyFont="1" applyBorder="1" applyAlignment="1">
      <alignment vertical="center" wrapText="1"/>
    </xf>
    <xf numFmtId="0" fontId="74" fillId="0" borderId="0" xfId="0" applyFont="1" applyAlignment="1">
      <alignment vertical="center" wrapText="1"/>
    </xf>
    <xf numFmtId="0" fontId="80" fillId="0" borderId="22" xfId="0" applyFont="1" applyBorder="1" applyAlignment="1">
      <alignment vertical="center" wrapText="1"/>
    </xf>
    <xf numFmtId="0" fontId="80" fillId="0" borderId="19" xfId="0" applyFont="1" applyBorder="1" applyAlignment="1">
      <alignment vertical="center" wrapText="1"/>
    </xf>
    <xf numFmtId="0" fontId="80" fillId="0" borderId="1" xfId="0" applyFont="1" applyBorder="1" applyAlignment="1">
      <alignment vertical="center" wrapText="1"/>
    </xf>
    <xf numFmtId="0" fontId="80" fillId="0" borderId="40" xfId="0" applyFont="1" applyBorder="1" applyAlignment="1">
      <alignment vertical="center" wrapText="1"/>
    </xf>
    <xf numFmtId="0" fontId="32" fillId="0" borderId="38" xfId="0" applyFont="1" applyBorder="1" applyAlignment="1">
      <alignment horizontal="center" vertical="center" wrapText="1"/>
    </xf>
    <xf numFmtId="0" fontId="76" fillId="0" borderId="45" xfId="0" applyFont="1" applyBorder="1" applyAlignment="1">
      <alignment vertical="center" wrapText="1"/>
    </xf>
    <xf numFmtId="0" fontId="76" fillId="0" borderId="41" xfId="0" applyFont="1" applyBorder="1" applyAlignment="1">
      <alignment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2" fillId="0" borderId="107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76" fillId="0" borderId="11" xfId="0" applyFont="1" applyBorder="1" applyAlignment="1">
      <alignment vertical="center" wrapText="1"/>
    </xf>
    <xf numFmtId="0" fontId="76" fillId="0" borderId="32" xfId="0" applyFont="1" applyBorder="1" applyAlignment="1">
      <alignment vertical="center" wrapText="1"/>
    </xf>
    <xf numFmtId="0" fontId="76" fillId="0" borderId="13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76" fillId="0" borderId="22" xfId="0" applyFont="1" applyBorder="1" applyAlignment="1">
      <alignment vertical="center" wrapText="1"/>
    </xf>
    <xf numFmtId="0" fontId="76" fillId="0" borderId="19" xfId="0" applyFont="1" applyBorder="1" applyAlignment="1">
      <alignment vertical="center" wrapText="1"/>
    </xf>
    <xf numFmtId="0" fontId="76" fillId="0" borderId="1" xfId="0" applyFont="1" applyBorder="1" applyAlignment="1">
      <alignment vertical="center" wrapText="1"/>
    </xf>
    <xf numFmtId="0" fontId="76" fillId="0" borderId="40" xfId="0" applyFont="1" applyBorder="1" applyAlignment="1">
      <alignment vertical="center" wrapText="1"/>
    </xf>
    <xf numFmtId="0" fontId="32" fillId="0" borderId="106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/>
    </xf>
    <xf numFmtId="0" fontId="32" fillId="0" borderId="119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107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118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121" xfId="0" applyFont="1" applyBorder="1" applyAlignment="1">
      <alignment horizontal="center" vertical="center" wrapText="1"/>
    </xf>
    <xf numFmtId="0" fontId="32" fillId="0" borderId="122" xfId="0" applyFont="1" applyBorder="1" applyAlignment="1">
      <alignment horizontal="center" vertical="center" wrapText="1"/>
    </xf>
    <xf numFmtId="0" fontId="32" fillId="0" borderId="123" xfId="0" applyFont="1" applyBorder="1" applyAlignment="1">
      <alignment horizontal="center" vertical="center" wrapText="1"/>
    </xf>
    <xf numFmtId="0" fontId="77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76" fillId="0" borderId="18" xfId="0" applyFont="1" applyBorder="1" applyAlignment="1">
      <alignment vertical="center" wrapText="1"/>
    </xf>
    <xf numFmtId="0" fontId="76" fillId="0" borderId="21" xfId="0" applyFont="1" applyBorder="1" applyAlignment="1">
      <alignment vertical="center" wrapText="1"/>
    </xf>
    <xf numFmtId="0" fontId="76" fillId="0" borderId="35" xfId="0" applyFont="1" applyBorder="1" applyAlignment="1">
      <alignment vertical="center" wrapText="1"/>
    </xf>
    <xf numFmtId="0" fontId="76" fillId="0" borderId="43" xfId="0" applyFont="1" applyBorder="1" applyAlignment="1">
      <alignment vertical="center" wrapText="1"/>
    </xf>
    <xf numFmtId="0" fontId="76" fillId="0" borderId="20" xfId="0" applyFont="1" applyBorder="1" applyAlignment="1">
      <alignment vertical="center" wrapText="1"/>
    </xf>
    <xf numFmtId="0" fontId="32" fillId="0" borderId="32" xfId="0" applyFont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/>
    </xf>
    <xf numFmtId="0" fontId="35" fillId="0" borderId="7" xfId="0" applyFont="1" applyBorder="1" applyAlignment="1">
      <alignment horizontal="left" vertical="center"/>
    </xf>
    <xf numFmtId="0" fontId="35" fillId="0" borderId="7" xfId="0" applyFont="1" applyBorder="1" applyAlignment="1">
      <alignment horizontal="center" vertical="center"/>
    </xf>
    <xf numFmtId="0" fontId="36" fillId="3" borderId="7" xfId="0" applyFont="1" applyFill="1" applyBorder="1" applyAlignment="1">
      <alignment horizontal="center" vertical="center" wrapText="1"/>
    </xf>
    <xf numFmtId="0" fontId="37" fillId="3" borderId="33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3" fillId="4" borderId="27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1" fillId="3" borderId="29" xfId="0" applyFont="1" applyFill="1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0" fontId="36" fillId="3" borderId="16" xfId="0" applyFont="1" applyFill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6" fillId="3" borderId="31" xfId="0" applyFont="1" applyFill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76" fillId="0" borderId="6" xfId="0" applyFont="1" applyBorder="1" applyAlignment="1">
      <alignment vertical="center" wrapText="1"/>
    </xf>
    <xf numFmtId="0" fontId="76" fillId="0" borderId="15" xfId="0" applyFont="1" applyBorder="1" applyAlignment="1">
      <alignment vertical="center" wrapText="1"/>
    </xf>
    <xf numFmtId="0" fontId="74" fillId="0" borderId="107" xfId="0" applyFont="1" applyBorder="1" applyAlignment="1">
      <alignment horizontal="center" vertical="center" wrapText="1"/>
    </xf>
    <xf numFmtId="0" fontId="74" fillId="0" borderId="26" xfId="0" applyFont="1" applyBorder="1" applyAlignment="1">
      <alignment horizontal="center" vertical="center" wrapText="1"/>
    </xf>
    <xf numFmtId="0" fontId="74" fillId="0" borderId="5" xfId="0" applyFont="1" applyBorder="1" applyAlignment="1">
      <alignment horizontal="center" vertical="center" wrapText="1"/>
    </xf>
    <xf numFmtId="0" fontId="74" fillId="0" borderId="6" xfId="0" applyFont="1" applyBorder="1" applyAlignment="1">
      <alignment horizontal="center" vertical="center" wrapText="1"/>
    </xf>
    <xf numFmtId="0" fontId="74" fillId="0" borderId="118" xfId="0" applyFont="1" applyBorder="1" applyAlignment="1">
      <alignment horizontal="center" vertical="center" wrapText="1"/>
    </xf>
    <xf numFmtId="0" fontId="74" fillId="0" borderId="42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0" fontId="74" fillId="0" borderId="46" xfId="0" applyFont="1" applyBorder="1" applyAlignment="1">
      <alignment horizontal="center" vertical="center" wrapText="1"/>
    </xf>
    <xf numFmtId="0" fontId="74" fillId="0" borderId="22" xfId="0" applyFont="1" applyBorder="1" applyAlignment="1">
      <alignment horizontal="center" vertical="center" wrapText="1"/>
    </xf>
    <xf numFmtId="0" fontId="74" fillId="0" borderId="19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0" borderId="40" xfId="0" applyFont="1" applyBorder="1" applyAlignment="1">
      <alignment horizontal="center" vertical="center" wrapText="1"/>
    </xf>
    <xf numFmtId="0" fontId="20" fillId="5" borderId="65" xfId="0" applyFont="1" applyFill="1" applyBorder="1" applyAlignment="1">
      <alignment horizontal="center" vertical="center" wrapText="1" readingOrder="1"/>
    </xf>
    <xf numFmtId="0" fontId="20" fillId="5" borderId="66" xfId="0" applyFont="1" applyFill="1" applyBorder="1" applyAlignment="1">
      <alignment horizontal="center" vertical="center" wrapText="1" readingOrder="1"/>
    </xf>
    <xf numFmtId="0" fontId="22" fillId="6" borderId="6" xfId="0" applyFont="1" applyFill="1" applyBorder="1" applyAlignment="1">
      <alignment horizontal="left" vertical="center" wrapText="1" readingOrder="1"/>
    </xf>
    <xf numFmtId="0" fontId="22" fillId="6" borderId="7" xfId="0" applyFont="1" applyFill="1" applyBorder="1" applyAlignment="1">
      <alignment horizontal="left" vertical="center" wrapText="1" readingOrder="1"/>
    </xf>
    <xf numFmtId="0" fontId="22" fillId="6" borderId="54" xfId="0" applyFont="1" applyFill="1" applyBorder="1" applyAlignment="1">
      <alignment horizontal="left" vertical="center" wrapText="1" readingOrder="1"/>
    </xf>
    <xf numFmtId="0" fontId="24" fillId="0" borderId="0" xfId="0" applyFont="1" applyAlignment="1">
      <alignment horizontal="center"/>
    </xf>
    <xf numFmtId="0" fontId="20" fillId="5" borderId="48" xfId="0" applyFont="1" applyFill="1" applyBorder="1" applyAlignment="1">
      <alignment horizontal="center" vertical="center" wrapText="1" readingOrder="1"/>
    </xf>
    <xf numFmtId="0" fontId="20" fillId="5" borderId="55" xfId="0" applyFont="1" applyFill="1" applyBorder="1" applyAlignment="1">
      <alignment horizontal="center" vertical="center" wrapText="1" readingOrder="1"/>
    </xf>
    <xf numFmtId="0" fontId="20" fillId="5" borderId="49" xfId="0" applyFont="1" applyFill="1" applyBorder="1" applyAlignment="1">
      <alignment horizontal="center" vertical="center" wrapText="1" readingOrder="1"/>
    </xf>
    <xf numFmtId="0" fontId="20" fillId="5" borderId="50" xfId="0" applyFont="1" applyFill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center" vertical="center" readingOrder="1"/>
    </xf>
    <xf numFmtId="0" fontId="20" fillId="5" borderId="55" xfId="0" applyFont="1" applyFill="1" applyBorder="1" applyAlignment="1">
      <alignment horizontal="center" vertical="center" readingOrder="1"/>
    </xf>
    <xf numFmtId="0" fontId="20" fillId="5" borderId="49" xfId="0" applyFont="1" applyFill="1" applyBorder="1" applyAlignment="1">
      <alignment horizontal="center" vertical="center" readingOrder="1"/>
    </xf>
    <xf numFmtId="0" fontId="21" fillId="14" borderId="6" xfId="0" applyFont="1" applyFill="1" applyBorder="1" applyAlignment="1">
      <alignment horizontal="center"/>
    </xf>
    <xf numFmtId="0" fontId="21" fillId="14" borderId="7" xfId="0" applyFont="1" applyFill="1" applyBorder="1" applyAlignment="1">
      <alignment horizontal="center"/>
    </xf>
    <xf numFmtId="0" fontId="21" fillId="14" borderId="8" xfId="0" applyFont="1" applyFill="1" applyBorder="1" applyAlignment="1">
      <alignment horizontal="center"/>
    </xf>
    <xf numFmtId="0" fontId="22" fillId="16" borderId="6" xfId="0" applyFont="1" applyFill="1" applyBorder="1" applyAlignment="1">
      <alignment horizontal="left" vertical="center" wrapText="1" readingOrder="1"/>
    </xf>
    <xf numFmtId="0" fontId="22" fillId="16" borderId="7" xfId="0" applyFont="1" applyFill="1" applyBorder="1" applyAlignment="1">
      <alignment horizontal="left" vertical="center" wrapText="1" readingOrder="1"/>
    </xf>
    <xf numFmtId="0" fontId="22" fillId="16" borderId="8" xfId="0" applyFont="1" applyFill="1" applyBorder="1" applyAlignment="1">
      <alignment horizontal="left" vertical="center" wrapText="1" readingOrder="1"/>
    </xf>
    <xf numFmtId="0" fontId="22" fillId="16" borderId="12" xfId="0" applyFont="1" applyFill="1" applyBorder="1" applyAlignment="1">
      <alignment horizontal="left" vertical="center" wrapText="1" readingOrder="1"/>
    </xf>
    <xf numFmtId="0" fontId="21" fillId="14" borderId="12" xfId="0" applyFont="1" applyFill="1" applyBorder="1" applyAlignment="1">
      <alignment horizontal="center"/>
    </xf>
    <xf numFmtId="0" fontId="20" fillId="5" borderId="67" xfId="0" applyFont="1" applyFill="1" applyBorder="1" applyAlignment="1">
      <alignment horizontal="center" vertical="center" wrapText="1" readingOrder="1"/>
    </xf>
    <xf numFmtId="0" fontId="20" fillId="5" borderId="47" xfId="0" applyFont="1" applyFill="1" applyBorder="1" applyAlignment="1">
      <alignment horizontal="center" vertical="center" wrapText="1" readingOrder="1"/>
    </xf>
    <xf numFmtId="0" fontId="45" fillId="26" borderId="73" xfId="0" applyFont="1" applyFill="1" applyBorder="1" applyAlignment="1">
      <alignment horizontal="left" vertical="center" wrapText="1" indent="1"/>
    </xf>
    <xf numFmtId="0" fontId="43" fillId="31" borderId="91" xfId="0" applyFont="1" applyFill="1" applyBorder="1" applyAlignment="1">
      <alignment horizontal="center" vertical="center" wrapText="1"/>
    </xf>
    <xf numFmtId="0" fontId="43" fillId="31" borderId="92" xfId="0" applyFont="1" applyFill="1" applyBorder="1" applyAlignment="1">
      <alignment horizontal="center" vertical="center" wrapText="1"/>
    </xf>
    <xf numFmtId="0" fontId="43" fillId="32" borderId="93" xfId="0" applyFont="1" applyFill="1" applyBorder="1" applyAlignment="1">
      <alignment horizontal="center" vertical="center" wrapText="1"/>
    </xf>
    <xf numFmtId="0" fontId="43" fillId="32" borderId="94" xfId="0" applyFont="1" applyFill="1" applyBorder="1" applyAlignment="1">
      <alignment horizontal="center" vertical="center" wrapText="1"/>
    </xf>
    <xf numFmtId="0" fontId="43" fillId="32" borderId="95" xfId="0" applyFont="1" applyFill="1" applyBorder="1" applyAlignment="1">
      <alignment horizontal="center" vertical="center" wrapText="1"/>
    </xf>
    <xf numFmtId="0" fontId="55" fillId="0" borderId="46" xfId="2" applyFont="1" applyFill="1" applyAlignment="1">
      <alignment horizontal="center" vertical="center"/>
    </xf>
    <xf numFmtId="0" fontId="55" fillId="0" borderId="46" xfId="2" applyFont="1" applyFill="1" applyAlignment="1"/>
    <xf numFmtId="0" fontId="40" fillId="8" borderId="81" xfId="0" applyFont="1" applyFill="1" applyBorder="1" applyAlignment="1">
      <alignment horizontal="center" vertical="center" wrapText="1"/>
    </xf>
    <xf numFmtId="0" fontId="45" fillId="29" borderId="73" xfId="0" applyFont="1" applyFill="1" applyBorder="1" applyAlignment="1">
      <alignment horizontal="left" vertical="center" wrapText="1" indent="1"/>
    </xf>
    <xf numFmtId="0" fontId="45" fillId="29" borderId="74" xfId="0" applyFont="1" applyFill="1" applyBorder="1" applyAlignment="1">
      <alignment horizontal="left" vertical="center" wrapText="1" indent="1"/>
    </xf>
    <xf numFmtId="0" fontId="45" fillId="29" borderId="82" xfId="0" applyFont="1" applyFill="1" applyBorder="1" applyAlignment="1">
      <alignment horizontal="left" vertical="center" wrapText="1" indent="1"/>
    </xf>
    <xf numFmtId="0" fontId="50" fillId="27" borderId="73" xfId="0" applyFont="1" applyFill="1" applyBorder="1" applyAlignment="1">
      <alignment horizontal="center" vertical="center"/>
    </xf>
    <xf numFmtId="0" fontId="50" fillId="27" borderId="82" xfId="0" applyFont="1" applyFill="1" applyBorder="1" applyAlignment="1">
      <alignment horizontal="center" vertical="center"/>
    </xf>
    <xf numFmtId="0" fontId="40" fillId="8" borderId="83" xfId="0" applyFont="1" applyFill="1" applyBorder="1" applyAlignment="1">
      <alignment horizontal="center" vertical="center" wrapText="1"/>
    </xf>
    <xf numFmtId="0" fontId="51" fillId="0" borderId="84" xfId="0" applyFont="1" applyBorder="1" applyAlignment="1">
      <alignment horizontal="left" vertical="center" wrapText="1" indent="1"/>
    </xf>
    <xf numFmtId="0" fontId="51" fillId="0" borderId="85" xfId="0" applyFont="1" applyBorder="1" applyAlignment="1">
      <alignment horizontal="left" vertical="center" wrapText="1" indent="1"/>
    </xf>
    <xf numFmtId="0" fontId="51" fillId="0" borderId="86" xfId="0" applyFont="1" applyBorder="1" applyAlignment="1">
      <alignment horizontal="left" vertical="center" wrapText="1" indent="1"/>
    </xf>
    <xf numFmtId="0" fontId="51" fillId="0" borderId="87" xfId="0" applyFont="1" applyBorder="1" applyAlignment="1">
      <alignment horizontal="left" vertical="center" wrapText="1" indent="1"/>
    </xf>
    <xf numFmtId="0" fontId="51" fillId="0" borderId="0" xfId="0" applyFont="1" applyAlignment="1">
      <alignment horizontal="left" vertical="center" wrapText="1" indent="1"/>
    </xf>
    <xf numFmtId="0" fontId="51" fillId="0" borderId="88" xfId="0" applyFont="1" applyBorder="1" applyAlignment="1">
      <alignment horizontal="left" vertical="center" wrapText="1" indent="1"/>
    </xf>
    <xf numFmtId="0" fontId="51" fillId="0" borderId="89" xfId="0" applyFont="1" applyBorder="1" applyAlignment="1">
      <alignment horizontal="left" vertical="center" wrapText="1" indent="1"/>
    </xf>
    <xf numFmtId="0" fontId="51" fillId="0" borderId="71" xfId="0" applyFont="1" applyBorder="1" applyAlignment="1">
      <alignment horizontal="left" vertical="center" wrapText="1" indent="1"/>
    </xf>
    <xf numFmtId="0" fontId="51" fillId="0" borderId="90" xfId="0" applyFont="1" applyBorder="1" applyAlignment="1">
      <alignment horizontal="left" vertical="center" wrapText="1" indent="1"/>
    </xf>
    <xf numFmtId="14" fontId="50" fillId="30" borderId="73" xfId="0" applyNumberFormat="1" applyFont="1" applyFill="1" applyBorder="1" applyAlignment="1">
      <alignment horizontal="center" vertical="center"/>
    </xf>
    <xf numFmtId="0" fontId="50" fillId="30" borderId="82" xfId="0" applyFont="1" applyFill="1" applyBorder="1" applyAlignment="1">
      <alignment horizontal="center" vertical="center"/>
    </xf>
    <xf numFmtId="0" fontId="66" fillId="5" borderId="52" xfId="0" applyFont="1" applyFill="1" applyBorder="1" applyAlignment="1">
      <alignment horizontal="center" vertical="center" wrapText="1" readingOrder="1"/>
    </xf>
    <xf numFmtId="0" fontId="66" fillId="5" borderId="47" xfId="0" applyFont="1" applyFill="1" applyBorder="1" applyAlignment="1">
      <alignment horizontal="center" vertical="center" wrapText="1"/>
    </xf>
    <xf numFmtId="0" fontId="66" fillId="5" borderId="48" xfId="0" applyFont="1" applyFill="1" applyBorder="1" applyAlignment="1">
      <alignment horizontal="center" vertical="center" wrapText="1" readingOrder="1"/>
    </xf>
    <xf numFmtId="0" fontId="66" fillId="5" borderId="53" xfId="0" applyFont="1" applyFill="1" applyBorder="1" applyAlignment="1">
      <alignment horizontal="center" vertical="center" wrapText="1" readingOrder="1"/>
    </xf>
    <xf numFmtId="0" fontId="66" fillId="5" borderId="49" xfId="0" applyFont="1" applyFill="1" applyBorder="1" applyAlignment="1">
      <alignment horizontal="center" vertical="center" wrapText="1" readingOrder="1"/>
    </xf>
    <xf numFmtId="0" fontId="66" fillId="5" borderId="48" xfId="0" applyFont="1" applyFill="1" applyBorder="1" applyAlignment="1">
      <alignment horizontal="center" vertical="center" wrapText="1"/>
    </xf>
    <xf numFmtId="0" fontId="66" fillId="5" borderId="55" xfId="0" applyFont="1" applyFill="1" applyBorder="1" applyAlignment="1">
      <alignment horizontal="center" vertical="center" wrapText="1"/>
    </xf>
    <xf numFmtId="166" fontId="66" fillId="5" borderId="48" xfId="0" applyNumberFormat="1" applyFont="1" applyFill="1" applyBorder="1" applyAlignment="1">
      <alignment horizontal="center" vertical="center" wrapText="1"/>
    </xf>
    <xf numFmtId="166" fontId="66" fillId="5" borderId="55" xfId="0" applyNumberFormat="1" applyFont="1" applyFill="1" applyBorder="1" applyAlignment="1">
      <alignment horizontal="center" vertical="center" wrapText="1"/>
    </xf>
    <xf numFmtId="0" fontId="66" fillId="5" borderId="49" xfId="0" applyFont="1" applyFill="1" applyBorder="1" applyAlignment="1">
      <alignment horizontal="center" vertical="center" wrapText="1"/>
    </xf>
    <xf numFmtId="0" fontId="66" fillId="5" borderId="47" xfId="0" applyFont="1" applyFill="1" applyBorder="1" applyAlignment="1">
      <alignment horizontal="center" vertical="center" wrapText="1" readingOrder="1"/>
    </xf>
    <xf numFmtId="0" fontId="66" fillId="5" borderId="48" xfId="0" applyFont="1" applyFill="1" applyBorder="1" applyAlignment="1">
      <alignment horizontal="center" vertical="center" readingOrder="1"/>
    </xf>
    <xf numFmtId="0" fontId="66" fillId="5" borderId="49" xfId="0" applyFont="1" applyFill="1" applyBorder="1" applyAlignment="1">
      <alignment horizontal="center" vertical="center" readingOrder="1"/>
    </xf>
    <xf numFmtId="0" fontId="24" fillId="0" borderId="0" xfId="0" applyFont="1" applyAlignment="1">
      <alignment horizontal="left" vertical="top" wrapText="1"/>
    </xf>
    <xf numFmtId="0" fontId="67" fillId="16" borderId="63" xfId="0" applyFont="1" applyFill="1" applyBorder="1" applyAlignment="1">
      <alignment horizontal="center" vertical="center" wrapText="1" readingOrder="1"/>
    </xf>
    <xf numFmtId="0" fontId="67" fillId="16" borderId="49" xfId="0" applyFont="1" applyFill="1" applyBorder="1" applyAlignment="1">
      <alignment horizontal="center" vertical="center" wrapText="1" readingOrder="1"/>
    </xf>
    <xf numFmtId="0" fontId="67" fillId="16" borderId="47" xfId="0" applyFont="1" applyFill="1" applyBorder="1" applyAlignment="1">
      <alignment horizontal="center" vertical="center" wrapText="1" readingOrder="1"/>
    </xf>
    <xf numFmtId="0" fontId="67" fillId="16" borderId="52" xfId="0" applyFont="1" applyFill="1" applyBorder="1" applyAlignment="1">
      <alignment horizontal="center" vertical="center" wrapText="1" readingOrder="1"/>
    </xf>
    <xf numFmtId="0" fontId="66" fillId="5" borderId="53" xfId="0" applyFont="1" applyFill="1" applyBorder="1" applyAlignment="1">
      <alignment horizontal="center" vertical="center" wrapText="1"/>
    </xf>
    <xf numFmtId="0" fontId="97" fillId="63" borderId="149" xfId="0" applyFont="1" applyFill="1" applyBorder="1" applyAlignment="1">
      <alignment horizontal="center" vertical="center" wrapText="1" readingOrder="1"/>
    </xf>
    <xf numFmtId="0" fontId="97" fillId="63" borderId="150" xfId="0" applyFont="1" applyFill="1" applyBorder="1" applyAlignment="1">
      <alignment horizontal="center" vertical="center" wrapText="1" readingOrder="1"/>
    </xf>
    <xf numFmtId="0" fontId="97" fillId="63" borderId="151" xfId="0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center"/>
    </xf>
    <xf numFmtId="0" fontId="96" fillId="62" borderId="107" xfId="0" applyFont="1" applyFill="1" applyBorder="1" applyAlignment="1">
      <alignment horizontal="center" vertical="center" wrapText="1" readingOrder="1"/>
    </xf>
    <xf numFmtId="0" fontId="96" fillId="62" borderId="5" xfId="0" applyFont="1" applyFill="1" applyBorder="1" applyAlignment="1">
      <alignment horizontal="center" vertical="center" wrapText="1" readingOrder="1"/>
    </xf>
    <xf numFmtId="0" fontId="96" fillId="62" borderId="26" xfId="0" applyFont="1" applyFill="1" applyBorder="1" applyAlignment="1">
      <alignment horizontal="center" vertical="center" wrapText="1" readingOrder="1"/>
    </xf>
    <xf numFmtId="0" fontId="96" fillId="62" borderId="6" xfId="0" applyFont="1" applyFill="1" applyBorder="1" applyAlignment="1">
      <alignment horizontal="center" vertical="center" wrapText="1" readingOrder="1"/>
    </xf>
    <xf numFmtId="0" fontId="96" fillId="62" borderId="26" xfId="0" applyFont="1" applyFill="1" applyBorder="1" applyAlignment="1">
      <alignment horizontal="center" vertical="center" readingOrder="1"/>
    </xf>
    <xf numFmtId="0" fontId="96" fillId="62" borderId="6" xfId="0" applyFont="1" applyFill="1" applyBorder="1" applyAlignment="1">
      <alignment horizontal="center" vertical="center" readingOrder="1"/>
    </xf>
    <xf numFmtId="0" fontId="96" fillId="62" borderId="38" xfId="0" applyFont="1" applyFill="1" applyBorder="1" applyAlignment="1">
      <alignment horizontal="center" vertical="center" readingOrder="1"/>
    </xf>
    <xf numFmtId="0" fontId="96" fillId="62" borderId="44" xfId="0" applyFont="1" applyFill="1" applyBorder="1" applyAlignment="1">
      <alignment horizontal="center" vertical="center" readingOrder="1"/>
    </xf>
    <xf numFmtId="0" fontId="96" fillId="62" borderId="26" xfId="0" applyFont="1" applyFill="1" applyBorder="1" applyAlignment="1">
      <alignment horizontal="center" vertical="center" wrapText="1"/>
    </xf>
    <xf numFmtId="0" fontId="96" fillId="62" borderId="6" xfId="0" applyFont="1" applyFill="1" applyBorder="1" applyAlignment="1">
      <alignment horizontal="center" vertical="center" wrapText="1"/>
    </xf>
    <xf numFmtId="166" fontId="96" fillId="62" borderId="26" xfId="0" applyNumberFormat="1" applyFont="1" applyFill="1" applyBorder="1" applyAlignment="1">
      <alignment horizontal="center" vertical="center" wrapText="1"/>
    </xf>
    <xf numFmtId="166" fontId="96" fillId="62" borderId="6" xfId="0" applyNumberFormat="1" applyFont="1" applyFill="1" applyBorder="1" applyAlignment="1">
      <alignment horizontal="center" vertical="center" wrapText="1"/>
    </xf>
    <xf numFmtId="166" fontId="96" fillId="62" borderId="106" xfId="0" applyNumberFormat="1" applyFont="1" applyFill="1" applyBorder="1" applyAlignment="1">
      <alignment horizontal="center" vertical="center" wrapText="1" readingOrder="1"/>
    </xf>
    <xf numFmtId="166" fontId="96" fillId="62" borderId="108" xfId="0" applyNumberFormat="1" applyFont="1" applyFill="1" applyBorder="1" applyAlignment="1">
      <alignment horizontal="center" vertical="center" wrapText="1" readingOrder="1"/>
    </xf>
    <xf numFmtId="0" fontId="97" fillId="63" borderId="5" xfId="0" applyFont="1" applyFill="1" applyBorder="1" applyAlignment="1">
      <alignment horizontal="center" vertical="center" wrapText="1" readingOrder="1"/>
    </xf>
    <xf numFmtId="0" fontId="97" fillId="63" borderId="6" xfId="0" applyFont="1" applyFill="1" applyBorder="1" applyAlignment="1">
      <alignment horizontal="center" vertical="center" wrapText="1" readingOrder="1"/>
    </xf>
    <xf numFmtId="0" fontId="97" fillId="63" borderId="108" xfId="0" applyFont="1" applyFill="1" applyBorder="1" applyAlignment="1">
      <alignment horizontal="center" vertical="center" wrapText="1" readingOrder="1"/>
    </xf>
    <xf numFmtId="0" fontId="97" fillId="63" borderId="110" xfId="0" applyFont="1" applyFill="1" applyBorder="1" applyAlignment="1">
      <alignment horizontal="center" vertical="center" wrapText="1" readingOrder="1"/>
    </xf>
    <xf numFmtId="0" fontId="97" fillId="63" borderId="44" xfId="0" applyFont="1" applyFill="1" applyBorder="1" applyAlignment="1">
      <alignment horizontal="center" vertical="center" wrapText="1" readingOrder="1"/>
    </xf>
    <xf numFmtId="0" fontId="97" fillId="63" borderId="112" xfId="0" applyFont="1" applyFill="1" applyBorder="1" applyAlignment="1">
      <alignment horizontal="center" vertical="center" wrapText="1" readingOrder="1"/>
    </xf>
    <xf numFmtId="0" fontId="85" fillId="0" borderId="0" xfId="0" applyFont="1" applyAlignment="1">
      <alignment horizontal="left"/>
    </xf>
    <xf numFmtId="0" fontId="82" fillId="0" borderId="73" xfId="0" applyFont="1" applyBorder="1" applyAlignment="1">
      <alignment horizontal="left" vertical="center" wrapText="1" indent="1"/>
    </xf>
    <xf numFmtId="0" fontId="82" fillId="0" borderId="74" xfId="0" applyFont="1" applyBorder="1" applyAlignment="1">
      <alignment horizontal="left" vertical="center" wrapText="1" indent="1"/>
    </xf>
    <xf numFmtId="0" fontId="82" fillId="0" borderId="125" xfId="0" applyFont="1" applyBorder="1" applyAlignment="1">
      <alignment horizontal="left" vertical="center" wrapText="1" indent="1"/>
    </xf>
    <xf numFmtId="0" fontId="82" fillId="0" borderId="82" xfId="0" applyFont="1" applyBorder="1" applyAlignment="1">
      <alignment horizontal="left" vertical="center" wrapText="1" indent="1"/>
    </xf>
    <xf numFmtId="0" fontId="51" fillId="30" borderId="127" xfId="0" applyFont="1" applyFill="1" applyBorder="1" applyAlignment="1">
      <alignment horizontal="left" vertical="center" indent="1"/>
    </xf>
    <xf numFmtId="0" fontId="51" fillId="30" borderId="128" xfId="0" applyFont="1" applyFill="1" applyBorder="1" applyAlignment="1">
      <alignment horizontal="left" vertical="center" indent="1"/>
    </xf>
    <xf numFmtId="0" fontId="51" fillId="30" borderId="129" xfId="0" applyFont="1" applyFill="1" applyBorder="1" applyAlignment="1">
      <alignment horizontal="left" vertical="center" indent="1"/>
    </xf>
    <xf numFmtId="0" fontId="51" fillId="53" borderId="127" xfId="0" applyFont="1" applyFill="1" applyBorder="1" applyAlignment="1">
      <alignment horizontal="left" vertical="center" indent="1"/>
    </xf>
    <xf numFmtId="0" fontId="51" fillId="53" borderId="128" xfId="0" applyFont="1" applyFill="1" applyBorder="1" applyAlignment="1">
      <alignment horizontal="left" vertical="center" indent="1"/>
    </xf>
    <xf numFmtId="0" fontId="51" fillId="53" borderId="129" xfId="0" applyFont="1" applyFill="1" applyBorder="1" applyAlignment="1">
      <alignment horizontal="left" vertical="center" indent="1"/>
    </xf>
    <xf numFmtId="0" fontId="86" fillId="55" borderId="141" xfId="0" applyFont="1" applyFill="1" applyBorder="1" applyAlignment="1">
      <alignment horizontal="center" vertical="center"/>
    </xf>
    <xf numFmtId="0" fontId="86" fillId="55" borderId="142" xfId="0" applyFont="1" applyFill="1" applyBorder="1" applyAlignment="1">
      <alignment horizontal="center" vertical="center"/>
    </xf>
    <xf numFmtId="0" fontId="86" fillId="55" borderId="143" xfId="0" applyFont="1" applyFill="1" applyBorder="1" applyAlignment="1">
      <alignment horizontal="center" vertical="center"/>
    </xf>
    <xf numFmtId="0" fontId="88" fillId="56" borderId="145" xfId="0" applyFont="1" applyFill="1" applyBorder="1" applyAlignment="1">
      <alignment horizontal="center" vertical="center"/>
    </xf>
    <xf numFmtId="0" fontId="88" fillId="56" borderId="146" xfId="0" applyFont="1" applyFill="1" applyBorder="1" applyAlignment="1">
      <alignment horizontal="center" vertical="center"/>
    </xf>
    <xf numFmtId="0" fontId="88" fillId="56" borderId="147" xfId="0" applyFont="1" applyFill="1" applyBorder="1" applyAlignment="1">
      <alignment horizontal="center" vertical="center"/>
    </xf>
    <xf numFmtId="0" fontId="91" fillId="56" borderId="157" xfId="0" applyFont="1" applyFill="1" applyBorder="1" applyAlignment="1">
      <alignment horizontal="center" vertical="center"/>
    </xf>
    <xf numFmtId="0" fontId="91" fillId="56" borderId="160" xfId="0" applyFont="1" applyFill="1" applyBorder="1" applyAlignment="1">
      <alignment horizontal="center" vertical="center"/>
    </xf>
    <xf numFmtId="0" fontId="89" fillId="55" borderId="158" xfId="0" applyFont="1" applyFill="1" applyBorder="1" applyAlignment="1">
      <alignment horizontal="center" vertical="center"/>
    </xf>
    <xf numFmtId="0" fontId="89" fillId="55" borderId="160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1" fillId="0" borderId="28" xfId="0" applyFont="1" applyBorder="1" applyAlignment="1"/>
    <xf numFmtId="0" fontId="1" fillId="0" borderId="8" xfId="0" applyFont="1" applyBorder="1" applyAlignment="1"/>
    <xf numFmtId="0" fontId="1" fillId="0" borderId="12" xfId="0" applyFont="1" applyBorder="1" applyAlignment="1"/>
    <xf numFmtId="0" fontId="1" fillId="0" borderId="9" xfId="0" applyFont="1" applyBorder="1" applyAlignment="1"/>
    <xf numFmtId="0" fontId="1" fillId="0" borderId="17" xfId="0" applyFont="1" applyBorder="1" applyAlignment="1"/>
    <xf numFmtId="0" fontId="1" fillId="0" borderId="34" xfId="0" applyFont="1" applyBorder="1" applyAlignment="1"/>
    <xf numFmtId="0" fontId="1" fillId="0" borderId="13" xfId="0" applyFont="1" applyBorder="1" applyAlignment="1"/>
    <xf numFmtId="0" fontId="1" fillId="0" borderId="46" xfId="0" applyFont="1" applyBorder="1" applyAlignment="1"/>
    <xf numFmtId="0" fontId="1" fillId="0" borderId="35" xfId="0" applyFont="1" applyBorder="1" applyAlignment="1"/>
    <xf numFmtId="0" fontId="1" fillId="0" borderId="4" xfId="0" applyFont="1" applyBorder="1" applyAlignment="1"/>
    <xf numFmtId="0" fontId="1" fillId="0" borderId="16" xfId="0" applyFont="1" applyBorder="1" applyAlignment="1"/>
    <xf numFmtId="0" fontId="1" fillId="0" borderId="15" xfId="0" applyFont="1" applyBorder="1" applyAlignment="1"/>
    <xf numFmtId="0" fontId="1" fillId="0" borderId="30" xfId="0" applyFont="1" applyBorder="1" applyAlignment="1"/>
    <xf numFmtId="0" fontId="1" fillId="0" borderId="24" xfId="0" applyFont="1" applyBorder="1" applyAlignment="1"/>
    <xf numFmtId="0" fontId="1" fillId="0" borderId="36" xfId="0" applyFont="1" applyBorder="1" applyAlignment="1"/>
    <xf numFmtId="0" fontId="1" fillId="0" borderId="25" xfId="0" applyFont="1" applyBorder="1" applyAlignment="1"/>
    <xf numFmtId="0" fontId="0" fillId="0" borderId="0" xfId="0" applyAlignment="1"/>
    <xf numFmtId="0" fontId="1" fillId="0" borderId="11" xfId="0" applyFont="1" applyBorder="1" applyAlignment="1"/>
    <xf numFmtId="0" fontId="1" fillId="0" borderId="32" xfId="0" applyFont="1" applyBorder="1" applyAlignment="1"/>
    <xf numFmtId="0" fontId="1" fillId="0" borderId="18" xfId="0" applyFont="1" applyBorder="1" applyAlignment="1"/>
    <xf numFmtId="0" fontId="1" fillId="0" borderId="22" xfId="0" applyFont="1" applyBorder="1" applyAlignment="1"/>
    <xf numFmtId="0" fontId="1" fillId="0" borderId="45" xfId="0" applyFont="1" applyBorder="1" applyAlignment="1"/>
    <xf numFmtId="0" fontId="1" fillId="0" borderId="21" xfId="0" applyFont="1" applyBorder="1" applyAlignment="1"/>
    <xf numFmtId="0" fontId="1" fillId="0" borderId="19" xfId="0" applyFont="1" applyBorder="1" applyAlignment="1"/>
    <xf numFmtId="0" fontId="1" fillId="0" borderId="1" xfId="0" applyFont="1" applyBorder="1" applyAlignment="1"/>
    <xf numFmtId="0" fontId="1" fillId="0" borderId="40" xfId="0" applyFont="1" applyBorder="1" applyAlignment="1"/>
    <xf numFmtId="0" fontId="1" fillId="0" borderId="41" xfId="0" applyFont="1" applyBorder="1" applyAlignment="1"/>
    <xf numFmtId="0" fontId="1" fillId="0" borderId="43" xfId="0" applyFont="1" applyBorder="1" applyAlignment="1"/>
    <xf numFmtId="0" fontId="1" fillId="0" borderId="20" xfId="0" applyFont="1" applyBorder="1" applyAlignment="1"/>
    <xf numFmtId="0" fontId="34" fillId="0" borderId="3" xfId="0" applyFont="1" applyBorder="1" applyAlignment="1"/>
    <xf numFmtId="0" fontId="34" fillId="0" borderId="28" xfId="0" applyFont="1" applyBorder="1" applyAlignment="1"/>
    <xf numFmtId="0" fontId="34" fillId="0" borderId="8" xfId="0" applyFont="1" applyBorder="1" applyAlignment="1"/>
    <xf numFmtId="0" fontId="34" fillId="0" borderId="12" xfId="0" applyFont="1" applyBorder="1" applyAlignment="1"/>
    <xf numFmtId="0" fontId="34" fillId="0" borderId="9" xfId="0" applyFont="1" applyBorder="1" applyAlignment="1"/>
    <xf numFmtId="0" fontId="34" fillId="0" borderId="17" xfId="0" applyFont="1" applyBorder="1" applyAlignment="1"/>
    <xf numFmtId="0" fontId="34" fillId="0" borderId="34" xfId="0" applyFont="1" applyBorder="1" applyAlignment="1"/>
    <xf numFmtId="0" fontId="34" fillId="0" borderId="13" xfId="0" applyFont="1" applyBorder="1" applyAlignment="1"/>
    <xf numFmtId="0" fontId="34" fillId="0" borderId="0" xfId="0" applyFont="1" applyAlignment="1"/>
    <xf numFmtId="0" fontId="34" fillId="0" borderId="35" xfId="0" applyFont="1" applyBorder="1" applyAlignment="1"/>
    <xf numFmtId="0" fontId="34" fillId="0" borderId="4" xfId="0" applyFont="1" applyBorder="1" applyAlignment="1"/>
    <xf numFmtId="0" fontId="34" fillId="0" borderId="16" xfId="0" applyFont="1" applyBorder="1" applyAlignment="1"/>
    <xf numFmtId="0" fontId="34" fillId="0" borderId="15" xfId="0" applyFont="1" applyBorder="1" applyAlignment="1"/>
    <xf numFmtId="0" fontId="34" fillId="0" borderId="30" xfId="0" applyFont="1" applyBorder="1" applyAlignment="1"/>
    <xf numFmtId="0" fontId="34" fillId="0" borderId="24" xfId="0" applyFont="1" applyBorder="1" applyAlignment="1"/>
    <xf numFmtId="0" fontId="34" fillId="0" borderId="36" xfId="0" applyFont="1" applyBorder="1" applyAlignment="1"/>
    <xf numFmtId="0" fontId="34" fillId="0" borderId="25" xfId="0" applyFont="1" applyBorder="1" applyAlignment="1"/>
  </cellXfs>
  <cellStyles count="5">
    <cellStyle name="Hipervínculo" xfId="2" builtinId="8"/>
    <cellStyle name="Hyperlink" xfId="4" xr:uid="{00000000-000B-0000-0000-000008000000}"/>
    <cellStyle name="Moneda" xfId="1" builtinId="4"/>
    <cellStyle name="Normal" xfId="0" builtinId="0"/>
    <cellStyle name="Normal 3 2" xfId="3" xr:uid="{6A75C994-7C95-48E3-99D6-1239127B4586}"/>
  </cellStyles>
  <dxfs count="82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alignment horizontal="right"/>
    </dxf>
    <dxf>
      <fill>
        <patternFill>
          <bgColor rgb="FFE9E4DA"/>
        </patternFill>
      </fill>
    </dxf>
    <dxf>
      <fill>
        <patternFill>
          <bgColor rgb="FFF2CBED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2" defaultPivotStyle="PivotStyleLight16"/>
  <colors>
    <mruColors>
      <color rgb="FFFFFFFF"/>
      <color rgb="FFFFB536"/>
      <color rgb="FFFC7A56"/>
      <color rgb="FFFA8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"Presupuestado", "Costo real" por "Actividad"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'Planificado vs costo real ✓'!$C$43</c:f>
              <c:strCache>
                <c:ptCount val="1"/>
                <c:pt idx="0">
                  <c:v>Presupuestado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'Planificado vs costo real ✓'!$B$44:$B$63</c:f>
              <c:strCache>
                <c:ptCount val="20"/>
                <c:pt idx="0">
                  <c:v>T001</c:v>
                </c:pt>
                <c:pt idx="1">
                  <c:v>T002</c:v>
                </c:pt>
                <c:pt idx="2">
                  <c:v>T003</c:v>
                </c:pt>
                <c:pt idx="3">
                  <c:v>T004</c:v>
                </c:pt>
                <c:pt idx="4">
                  <c:v>T005</c:v>
                </c:pt>
                <c:pt idx="5">
                  <c:v>T006</c:v>
                </c:pt>
                <c:pt idx="6">
                  <c:v>T007</c:v>
                </c:pt>
                <c:pt idx="7">
                  <c:v>T008</c:v>
                </c:pt>
                <c:pt idx="8">
                  <c:v>T009</c:v>
                </c:pt>
                <c:pt idx="9">
                  <c:v>T010</c:v>
                </c:pt>
                <c:pt idx="10">
                  <c:v>T011</c:v>
                </c:pt>
                <c:pt idx="11">
                  <c:v>T012</c:v>
                </c:pt>
                <c:pt idx="12">
                  <c:v>T013</c:v>
                </c:pt>
                <c:pt idx="13">
                  <c:v>T014</c:v>
                </c:pt>
                <c:pt idx="14">
                  <c:v>T015</c:v>
                </c:pt>
                <c:pt idx="15">
                  <c:v>T016</c:v>
                </c:pt>
                <c:pt idx="16">
                  <c:v>T017</c:v>
                </c:pt>
                <c:pt idx="17">
                  <c:v>T018</c:v>
                </c:pt>
                <c:pt idx="18">
                  <c:v>T019</c:v>
                </c:pt>
                <c:pt idx="19">
                  <c:v>T020</c:v>
                </c:pt>
              </c:strCache>
            </c:strRef>
          </c:cat>
          <c:val>
            <c:numRef>
              <c:f>'Planificado vs costo real ✓'!$C$44:$C$63</c:f>
              <c:numCache>
                <c:formatCode>General</c:formatCode>
                <c:ptCount val="20"/>
                <c:pt idx="0">
                  <c:v>20000000</c:v>
                </c:pt>
                <c:pt idx="1">
                  <c:v>10000000</c:v>
                </c:pt>
                <c:pt idx="2">
                  <c:v>10000000</c:v>
                </c:pt>
                <c:pt idx="3">
                  <c:v>10000000</c:v>
                </c:pt>
                <c:pt idx="4">
                  <c:v>8000000</c:v>
                </c:pt>
                <c:pt idx="5">
                  <c:v>10000000</c:v>
                </c:pt>
                <c:pt idx="6">
                  <c:v>15000000</c:v>
                </c:pt>
                <c:pt idx="7">
                  <c:v>15000000</c:v>
                </c:pt>
                <c:pt idx="8">
                  <c:v>2000000</c:v>
                </c:pt>
                <c:pt idx="9">
                  <c:v>15000000</c:v>
                </c:pt>
                <c:pt idx="10">
                  <c:v>20000000</c:v>
                </c:pt>
                <c:pt idx="11">
                  <c:v>24000000</c:v>
                </c:pt>
                <c:pt idx="12">
                  <c:v>15000000</c:v>
                </c:pt>
                <c:pt idx="13">
                  <c:v>12000000</c:v>
                </c:pt>
                <c:pt idx="14">
                  <c:v>20000000</c:v>
                </c:pt>
                <c:pt idx="15">
                  <c:v>15000000</c:v>
                </c:pt>
                <c:pt idx="16">
                  <c:v>20000000</c:v>
                </c:pt>
                <c:pt idx="17">
                  <c:v>12000000</c:v>
                </c:pt>
                <c:pt idx="18">
                  <c:v>15000000</c:v>
                </c:pt>
                <c:pt idx="19">
                  <c:v>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8EDD629-8094-435D-8A00-9F8512476780}"/>
            </c:ext>
          </c:extLst>
        </c:ser>
        <c:ser>
          <c:idx val="1"/>
          <c:order val="1"/>
          <c:tx>
            <c:strRef>
              <c:f>'Planificado vs costo real ✓'!$D$43</c:f>
              <c:strCache>
                <c:ptCount val="1"/>
                <c:pt idx="0">
                  <c:v>Costo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'Planificado vs costo real ✓'!$B$44:$B$63</c:f>
              <c:strCache>
                <c:ptCount val="20"/>
                <c:pt idx="0">
                  <c:v>T001</c:v>
                </c:pt>
                <c:pt idx="1">
                  <c:v>T002</c:v>
                </c:pt>
                <c:pt idx="2">
                  <c:v>T003</c:v>
                </c:pt>
                <c:pt idx="3">
                  <c:v>T004</c:v>
                </c:pt>
                <c:pt idx="4">
                  <c:v>T005</c:v>
                </c:pt>
                <c:pt idx="5">
                  <c:v>T006</c:v>
                </c:pt>
                <c:pt idx="6">
                  <c:v>T007</c:v>
                </c:pt>
                <c:pt idx="7">
                  <c:v>T008</c:v>
                </c:pt>
                <c:pt idx="8">
                  <c:v>T009</c:v>
                </c:pt>
                <c:pt idx="9">
                  <c:v>T010</c:v>
                </c:pt>
                <c:pt idx="10">
                  <c:v>T011</c:v>
                </c:pt>
                <c:pt idx="11">
                  <c:v>T012</c:v>
                </c:pt>
                <c:pt idx="12">
                  <c:v>T013</c:v>
                </c:pt>
                <c:pt idx="13">
                  <c:v>T014</c:v>
                </c:pt>
                <c:pt idx="14">
                  <c:v>T015</c:v>
                </c:pt>
                <c:pt idx="15">
                  <c:v>T016</c:v>
                </c:pt>
                <c:pt idx="16">
                  <c:v>T017</c:v>
                </c:pt>
                <c:pt idx="17">
                  <c:v>T018</c:v>
                </c:pt>
                <c:pt idx="18">
                  <c:v>T019</c:v>
                </c:pt>
                <c:pt idx="19">
                  <c:v>T020</c:v>
                </c:pt>
              </c:strCache>
            </c:strRef>
          </c:cat>
          <c:val>
            <c:numRef>
              <c:f>'Planificado vs costo real ✓'!$D$44:$D$63</c:f>
              <c:numCache>
                <c:formatCode>General</c:formatCode>
                <c:ptCount val="20"/>
                <c:pt idx="0">
                  <c:v>20000000</c:v>
                </c:pt>
                <c:pt idx="1">
                  <c:v>10000000</c:v>
                </c:pt>
                <c:pt idx="2">
                  <c:v>10000000</c:v>
                </c:pt>
                <c:pt idx="3">
                  <c:v>10000000</c:v>
                </c:pt>
                <c:pt idx="4">
                  <c:v>8000000</c:v>
                </c:pt>
                <c:pt idx="5">
                  <c:v>10000000</c:v>
                </c:pt>
                <c:pt idx="6">
                  <c:v>15000000</c:v>
                </c:pt>
                <c:pt idx="7">
                  <c:v>15000000</c:v>
                </c:pt>
                <c:pt idx="8">
                  <c:v>2000000</c:v>
                </c:pt>
                <c:pt idx="9">
                  <c:v>15000000</c:v>
                </c:pt>
                <c:pt idx="10">
                  <c:v>20000000</c:v>
                </c:pt>
                <c:pt idx="11">
                  <c:v>24000000</c:v>
                </c:pt>
                <c:pt idx="12">
                  <c:v>15000000</c:v>
                </c:pt>
                <c:pt idx="13">
                  <c:v>12000000</c:v>
                </c:pt>
                <c:pt idx="14">
                  <c:v>20000000</c:v>
                </c:pt>
                <c:pt idx="15">
                  <c:v>15000000</c:v>
                </c:pt>
                <c:pt idx="16">
                  <c:v>20000000</c:v>
                </c:pt>
                <c:pt idx="17">
                  <c:v>12000000</c:v>
                </c:pt>
                <c:pt idx="18">
                  <c:v>15000000</c:v>
                </c:pt>
                <c:pt idx="19">
                  <c:v>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C88EDA4B-F3A0-45FF-983B-2FCB1747D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03143"/>
        <c:axId val="123985415"/>
      </c:lineChart>
      <c:catAx>
        <c:axId val="109403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5415"/>
        <c:crosses val="autoZero"/>
        <c:auto val="1"/>
        <c:lblAlgn val="ctr"/>
        <c:lblOffset val="100"/>
        <c:noMultiLvlLbl val="0"/>
      </c:catAx>
      <c:valAx>
        <c:axId val="123985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3143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114300</xdr:rowOff>
    </xdr:from>
    <xdr:to>
      <xdr:col>3</xdr:col>
      <xdr:colOff>762000</xdr:colOff>
      <xdr:row>1</xdr:row>
      <xdr:rowOff>1657350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7C26E34F-E02D-2FA0-9D15-5A3823FC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6977" r="471"/>
        <a:stretch>
          <a:fillRect/>
        </a:stretch>
      </xdr:blipFill>
      <xdr:spPr>
        <a:xfrm>
          <a:off x="647700" y="485775"/>
          <a:ext cx="4029075" cy="1543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6</xdr:row>
      <xdr:rowOff>180975</xdr:rowOff>
    </xdr:from>
    <xdr:to>
      <xdr:col>15</xdr:col>
      <xdr:colOff>523875</xdr:colOff>
      <xdr:row>22</xdr:row>
      <xdr:rowOff>0</xdr:rowOff>
    </xdr:to>
    <xdr:graphicFrame macro="">
      <xdr:nvGraphicFramePr>
        <xdr:cNvPr id="7" name="Gráfico 6" descr="Tipo de gráfico: Líneas. &quot;Presupuestado&quot;, &quot;Costo real&quot; por &quot;Actividad&quot;&#10;&#10;Descripción generada automáticamente">
          <a:extLst>
            <a:ext uri="{FF2B5EF4-FFF2-40B4-BE49-F238E27FC236}">
              <a16:creationId xmlns:a16="http://schemas.microsoft.com/office/drawing/2014/main" id="{14B8922E-A610-85A5-CEE9-7067A391676F}"/>
            </a:ext>
            <a:ext uri="{147F2762-F138-4A5C-976F-8EAC2B608ADB}">
              <a16:predDERef xmlns:a16="http://schemas.microsoft.com/office/drawing/2014/main" pred="{90789566-6784-D4E2-E337-6A7AB8ECD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andresd-ruizr_unilibre_edu_co/Documents/Entrega%20Final%20-%20Docu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eación y Costo ✓"/>
      <sheetName val="Costo Real"/>
    </sheetNames>
    <sheetDataSet>
      <sheetData sheetId="0">
        <row r="8">
          <cell r="M8">
            <v>10000000</v>
          </cell>
        </row>
        <row r="12">
          <cell r="M12">
            <v>10000000</v>
          </cell>
        </row>
        <row r="26">
          <cell r="M26">
            <v>10000000</v>
          </cell>
        </row>
        <row r="27">
          <cell r="M27">
            <v>8000000</v>
          </cell>
        </row>
        <row r="28">
          <cell r="M28">
            <v>10000000</v>
          </cell>
        </row>
        <row r="30">
          <cell r="M30">
            <v>15000000</v>
          </cell>
        </row>
        <row r="31">
          <cell r="M31">
            <v>15000000</v>
          </cell>
        </row>
        <row r="32">
          <cell r="M32">
            <v>2000000</v>
          </cell>
        </row>
        <row r="35">
          <cell r="M35">
            <v>15000000</v>
          </cell>
        </row>
        <row r="36">
          <cell r="M36">
            <v>20000000</v>
          </cell>
        </row>
        <row r="37">
          <cell r="M37">
            <v>24000000</v>
          </cell>
        </row>
        <row r="39">
          <cell r="M39">
            <v>15000000</v>
          </cell>
        </row>
        <row r="40">
          <cell r="M40">
            <v>12000000</v>
          </cell>
        </row>
        <row r="41">
          <cell r="M41">
            <v>20000000</v>
          </cell>
        </row>
        <row r="43">
          <cell r="M43">
            <v>15000000</v>
          </cell>
        </row>
        <row r="44">
          <cell r="M44">
            <v>20000000</v>
          </cell>
        </row>
        <row r="45">
          <cell r="M45">
            <v>12000000</v>
          </cell>
        </row>
        <row r="49">
          <cell r="M49" t="str">
            <v>-</v>
          </cell>
        </row>
      </sheetData>
      <sheetData sheetId="1">
        <row r="8">
          <cell r="M8">
            <v>10000000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BBD69-3A13-4D46-8E41-7B557794B325}" name="Tabla1" displayName="Tabla1" ref="B2:G38" totalsRowShown="0">
  <tableColumns count="6">
    <tableColumn id="1" xr3:uid="{B231B0BA-4140-421E-80E0-3A1FFE2153C8}" name="Codigo T"/>
    <tableColumn id="2" xr3:uid="{A8B0683F-CCDB-4FE3-A647-B2C04EF466F5}" name="DETALLE"/>
    <tableColumn id="3" xr3:uid="{EA653CDB-D2CC-47C2-A1E4-4C016D72F257}" name="Duración dias"/>
    <tableColumn id="10" xr3:uid="{C2E373E6-6844-432D-AE2F-A70D02D1C289}" name="Subtotal Planificado"/>
    <tableColumn id="11" xr3:uid="{B4DB862F-0773-4644-862D-41A05A5CE086}" name="Total Planificado" dataDxfId="13"/>
    <tableColumn id="12" xr3:uid="{038389C5-8963-47E7-9286-1ABDAF4193C9}" name="Total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Ingridv-oviedon@unilibre.edu.co" TargetMode="External"/><Relationship Id="rId3" Type="http://schemas.openxmlformats.org/officeDocument/2006/relationships/hyperlink" Target="mailto:Andresd-ruizr@unilibre.edu.co" TargetMode="External"/><Relationship Id="rId7" Type="http://schemas.openxmlformats.org/officeDocument/2006/relationships/hyperlink" Target="mailto:Ingridv-oviedon@unilibre.edu.co" TargetMode="External"/><Relationship Id="rId2" Type="http://schemas.openxmlformats.org/officeDocument/2006/relationships/hyperlink" Target="mailto:britneym-morad@unilibre.edu.co" TargetMode="External"/><Relationship Id="rId1" Type="http://schemas.openxmlformats.org/officeDocument/2006/relationships/hyperlink" Target="mailto:francyl-barenoo@unilibre.edu.co" TargetMode="External"/><Relationship Id="rId6" Type="http://schemas.openxmlformats.org/officeDocument/2006/relationships/hyperlink" Target="mailto:francyl-barenoo@unilibre.edu.co" TargetMode="External"/><Relationship Id="rId11" Type="http://schemas.openxmlformats.org/officeDocument/2006/relationships/hyperlink" Target="mailto:Hamilthone-ortegam@unilibre.edu.co" TargetMode="External"/><Relationship Id="rId5" Type="http://schemas.openxmlformats.org/officeDocument/2006/relationships/hyperlink" Target="mailto:britneym-morad@unilibre.edu.co" TargetMode="External"/><Relationship Id="rId10" Type="http://schemas.openxmlformats.org/officeDocument/2006/relationships/hyperlink" Target="mailto:mdunn@email.com" TargetMode="External"/><Relationship Id="rId4" Type="http://schemas.openxmlformats.org/officeDocument/2006/relationships/hyperlink" Target="mailto:Hamilthone-ortegam@unilibre.edu.co" TargetMode="External"/><Relationship Id="rId9" Type="http://schemas.openxmlformats.org/officeDocument/2006/relationships/hyperlink" Target="mailto:Andresd-ruizr@unilibre.edu.co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/>
  </sheetViews>
  <sheetFormatPr defaultColWidth="12.625" defaultRowHeight="15" customHeight="1"/>
  <cols>
    <col min="1" max="1" width="6.875" customWidth="1"/>
    <col min="2" max="2" width="13.25" customWidth="1"/>
    <col min="3" max="3" width="13" customWidth="1"/>
    <col min="4" max="4" width="13.125" customWidth="1"/>
    <col min="5" max="5" width="8.75" customWidth="1"/>
    <col min="6" max="6" width="11.375" customWidth="1"/>
    <col min="7" max="7" width="28.375" customWidth="1"/>
    <col min="8" max="8" width="38.875" customWidth="1"/>
    <col min="9" max="10" width="19.625" customWidth="1"/>
    <col min="11" max="11" width="15.625" customWidth="1"/>
    <col min="12" max="12" width="13.125" customWidth="1"/>
    <col min="13" max="13" width="6.875" customWidth="1"/>
    <col min="14" max="14" width="9.375" customWidth="1"/>
    <col min="15" max="15" width="9.125" customWidth="1"/>
    <col min="16" max="26" width="10" customWidth="1"/>
  </cols>
  <sheetData>
    <row r="1" spans="1:26" ht="32.2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26" ht="14.25" customHeight="1">
      <c r="B2" s="554" t="s">
        <v>0</v>
      </c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8"/>
    </row>
    <row r="3" spans="1:26" ht="14.25" customHeight="1">
      <c r="B3" s="1" t="s">
        <v>1</v>
      </c>
      <c r="C3" s="562" t="s">
        <v>2</v>
      </c>
      <c r="D3" s="799"/>
      <c r="E3" s="800"/>
      <c r="F3" s="2" t="s">
        <v>3</v>
      </c>
      <c r="G3" s="2" t="s">
        <v>4</v>
      </c>
      <c r="H3" s="2" t="s">
        <v>5</v>
      </c>
      <c r="I3" s="563" t="s">
        <v>6</v>
      </c>
      <c r="J3" s="799"/>
      <c r="K3" s="799"/>
      <c r="L3" s="799"/>
      <c r="M3" s="799"/>
      <c r="N3" s="799"/>
      <c r="O3" s="801"/>
    </row>
    <row r="4" spans="1:26" ht="14.25" customHeight="1">
      <c r="B4" s="7" t="s">
        <v>7</v>
      </c>
      <c r="C4" s="564" t="s">
        <v>8</v>
      </c>
      <c r="D4" s="799"/>
      <c r="E4" s="800"/>
      <c r="F4" s="8" t="s">
        <v>9</v>
      </c>
      <c r="G4" s="8" t="s">
        <v>9</v>
      </c>
      <c r="H4" s="3"/>
      <c r="I4" s="564" t="s">
        <v>10</v>
      </c>
      <c r="J4" s="799"/>
      <c r="K4" s="799"/>
      <c r="L4" s="799"/>
      <c r="M4" s="799"/>
      <c r="N4" s="799"/>
      <c r="O4" s="801"/>
    </row>
    <row r="5" spans="1:26" ht="14.25" customHeight="1">
      <c r="B5" s="560" t="s">
        <v>11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3"/>
    </row>
    <row r="6" spans="1:26" ht="14.25" customHeight="1">
      <c r="B6" s="804"/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  <c r="N6" s="805"/>
      <c r="O6" s="806"/>
    </row>
    <row r="7" spans="1:26" ht="14.25" customHeight="1">
      <c r="B7" s="554" t="s">
        <v>12</v>
      </c>
      <c r="C7" s="797"/>
      <c r="D7" s="797"/>
      <c r="E7" s="797"/>
      <c r="F7" s="797"/>
      <c r="G7" s="797"/>
      <c r="H7" s="797"/>
      <c r="I7" s="807"/>
      <c r="J7" s="561" t="s">
        <v>13</v>
      </c>
      <c r="K7" s="797"/>
      <c r="L7" s="797"/>
      <c r="M7" s="797"/>
      <c r="N7" s="797"/>
      <c r="O7" s="798"/>
    </row>
    <row r="8" spans="1:26" ht="14.25" customHeight="1">
      <c r="B8" s="555"/>
      <c r="C8" s="808"/>
      <c r="D8" s="808"/>
      <c r="E8" s="808"/>
      <c r="F8" s="808"/>
      <c r="G8" s="808"/>
      <c r="H8" s="808"/>
      <c r="I8" s="809"/>
      <c r="J8" s="556"/>
      <c r="K8" s="808"/>
      <c r="L8" s="808"/>
      <c r="M8" s="808"/>
      <c r="N8" s="808"/>
      <c r="O8" s="810"/>
    </row>
    <row r="9" spans="1:26" ht="14.25" customHeight="1">
      <c r="B9" s="48"/>
      <c r="C9" s="48"/>
      <c r="D9" s="48"/>
      <c r="E9" s="48"/>
      <c r="F9" s="48"/>
      <c r="G9" s="48"/>
      <c r="H9" s="48"/>
      <c r="I9" s="48"/>
      <c r="J9" s="49"/>
      <c r="K9" s="49"/>
      <c r="L9" s="49"/>
      <c r="M9" s="49"/>
      <c r="N9" s="49"/>
      <c r="O9" s="49"/>
    </row>
    <row r="10" spans="1:26" ht="42" customHeight="1">
      <c r="A10" s="9"/>
      <c r="B10" s="557" t="s">
        <v>14</v>
      </c>
      <c r="C10" s="811"/>
      <c r="D10" s="812"/>
      <c r="E10" s="10" t="s">
        <v>15</v>
      </c>
      <c r="F10" s="10" t="s">
        <v>16</v>
      </c>
      <c r="G10" s="10" t="s">
        <v>17</v>
      </c>
      <c r="H10" s="10" t="s">
        <v>18</v>
      </c>
      <c r="I10" s="10" t="s">
        <v>19</v>
      </c>
      <c r="J10" s="10" t="s">
        <v>20</v>
      </c>
      <c r="K10" s="10" t="s">
        <v>21</v>
      </c>
      <c r="L10" s="10" t="s">
        <v>22</v>
      </c>
      <c r="M10" s="558" t="s">
        <v>23</v>
      </c>
      <c r="N10" s="811"/>
      <c r="O10" s="813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.5" customHeight="1">
      <c r="B11" s="559"/>
      <c r="C11" s="814"/>
      <c r="D11" s="814"/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26" ht="14.25" customHeight="1">
      <c r="B12" s="551"/>
      <c r="C12" s="815"/>
      <c r="D12" s="816"/>
      <c r="E12" s="552"/>
      <c r="F12" s="552"/>
      <c r="G12" s="12"/>
      <c r="H12" s="552"/>
      <c r="I12" s="552"/>
      <c r="J12" s="552"/>
      <c r="K12" s="552"/>
      <c r="L12" s="552"/>
      <c r="M12" s="553"/>
      <c r="N12" s="815"/>
      <c r="O12" s="817"/>
    </row>
    <row r="13" spans="1:26" ht="14.25" customHeight="1">
      <c r="B13" s="804"/>
      <c r="C13" s="814"/>
      <c r="D13" s="818"/>
      <c r="E13" s="819"/>
      <c r="F13" s="819"/>
      <c r="G13" s="13"/>
      <c r="H13" s="819"/>
      <c r="I13" s="819"/>
      <c r="J13" s="819"/>
      <c r="K13" s="819"/>
      <c r="L13" s="819"/>
      <c r="M13" s="820"/>
      <c r="N13" s="814"/>
      <c r="O13" s="806"/>
    </row>
    <row r="14" spans="1:26" ht="14.25" customHeight="1">
      <c r="B14" s="804"/>
      <c r="C14" s="814"/>
      <c r="D14" s="818"/>
      <c r="E14" s="819"/>
      <c r="F14" s="819"/>
      <c r="G14" s="13"/>
      <c r="H14" s="819"/>
      <c r="I14" s="819"/>
      <c r="J14" s="819"/>
      <c r="K14" s="819"/>
      <c r="L14" s="819"/>
      <c r="M14" s="820"/>
      <c r="N14" s="814"/>
      <c r="O14" s="806"/>
    </row>
    <row r="15" spans="1:26" ht="14.25" customHeight="1">
      <c r="B15" s="804"/>
      <c r="C15" s="814"/>
      <c r="D15" s="818"/>
      <c r="E15" s="819"/>
      <c r="F15" s="819"/>
      <c r="G15" s="14"/>
      <c r="H15" s="819"/>
      <c r="I15" s="819"/>
      <c r="J15" s="819"/>
      <c r="K15" s="819"/>
      <c r="L15" s="819"/>
      <c r="M15" s="820"/>
      <c r="N15" s="814"/>
      <c r="O15" s="806"/>
    </row>
    <row r="16" spans="1:26" ht="14.25" customHeight="1">
      <c r="B16" s="821"/>
      <c r="C16" s="822"/>
      <c r="D16" s="823"/>
      <c r="E16" s="824"/>
      <c r="F16" s="824"/>
      <c r="G16" s="15"/>
      <c r="H16" s="824"/>
      <c r="I16" s="824"/>
      <c r="J16" s="824"/>
      <c r="K16" s="824"/>
      <c r="L16" s="824"/>
      <c r="M16" s="825"/>
      <c r="N16" s="822"/>
      <c r="O16" s="826"/>
    </row>
    <row r="17" spans="2:15" ht="7.5" customHeight="1"/>
    <row r="18" spans="2:15" ht="14.25" customHeight="1">
      <c r="B18" s="551"/>
      <c r="C18" s="815"/>
      <c r="D18" s="816"/>
      <c r="E18" s="552"/>
      <c r="F18" s="552"/>
      <c r="G18" s="12"/>
      <c r="H18" s="552"/>
      <c r="I18" s="552"/>
      <c r="J18" s="552"/>
      <c r="K18" s="552"/>
      <c r="L18" s="552"/>
      <c r="M18" s="553"/>
      <c r="N18" s="815"/>
      <c r="O18" s="817"/>
    </row>
    <row r="19" spans="2:15" ht="14.25" customHeight="1">
      <c r="B19" s="804"/>
      <c r="C19" s="814"/>
      <c r="D19" s="818"/>
      <c r="E19" s="819"/>
      <c r="F19" s="819"/>
      <c r="G19" s="13"/>
      <c r="H19" s="819"/>
      <c r="I19" s="819"/>
      <c r="J19" s="819"/>
      <c r="K19" s="819"/>
      <c r="L19" s="819"/>
      <c r="M19" s="820"/>
      <c r="N19" s="814"/>
      <c r="O19" s="806"/>
    </row>
    <row r="20" spans="2:15" ht="14.25" customHeight="1">
      <c r="B20" s="804"/>
      <c r="C20" s="814"/>
      <c r="D20" s="818"/>
      <c r="E20" s="819"/>
      <c r="F20" s="819"/>
      <c r="G20" s="13"/>
      <c r="H20" s="819"/>
      <c r="I20" s="819"/>
      <c r="J20" s="819"/>
      <c r="K20" s="819"/>
      <c r="L20" s="819"/>
      <c r="M20" s="820"/>
      <c r="N20" s="814"/>
      <c r="O20" s="806"/>
    </row>
    <row r="21" spans="2:15" ht="14.25" customHeight="1">
      <c r="B21" s="804"/>
      <c r="C21" s="814"/>
      <c r="D21" s="818"/>
      <c r="E21" s="819"/>
      <c r="F21" s="819"/>
      <c r="G21" s="14"/>
      <c r="H21" s="819"/>
      <c r="I21" s="819"/>
      <c r="J21" s="819"/>
      <c r="K21" s="819"/>
      <c r="L21" s="819"/>
      <c r="M21" s="820"/>
      <c r="N21" s="814"/>
      <c r="O21" s="806"/>
    </row>
    <row r="22" spans="2:15" ht="14.25" customHeight="1">
      <c r="B22" s="821"/>
      <c r="C22" s="822"/>
      <c r="D22" s="823"/>
      <c r="E22" s="824"/>
      <c r="F22" s="824"/>
      <c r="G22" s="15"/>
      <c r="H22" s="824"/>
      <c r="I22" s="824"/>
      <c r="J22" s="824"/>
      <c r="K22" s="824"/>
      <c r="L22" s="824"/>
      <c r="M22" s="825"/>
      <c r="N22" s="822"/>
      <c r="O22" s="826"/>
    </row>
    <row r="23" spans="2:15" ht="3.75" customHeight="1"/>
    <row r="24" spans="2:15" ht="14.25" customHeight="1">
      <c r="B24" s="551"/>
      <c r="C24" s="815"/>
      <c r="D24" s="816"/>
      <c r="E24" s="552"/>
      <c r="F24" s="552"/>
      <c r="G24" s="12"/>
      <c r="H24" s="552"/>
      <c r="I24" s="552"/>
      <c r="J24" s="552"/>
      <c r="K24" s="552"/>
      <c r="L24" s="552"/>
      <c r="M24" s="553"/>
      <c r="N24" s="815"/>
      <c r="O24" s="817"/>
    </row>
    <row r="25" spans="2:15" ht="14.25" customHeight="1">
      <c r="B25" s="804"/>
      <c r="C25" s="814"/>
      <c r="D25" s="818"/>
      <c r="E25" s="819"/>
      <c r="F25" s="819"/>
      <c r="G25" s="13"/>
      <c r="H25" s="819"/>
      <c r="I25" s="819"/>
      <c r="J25" s="819"/>
      <c r="K25" s="819"/>
      <c r="L25" s="819"/>
      <c r="M25" s="820"/>
      <c r="N25" s="814"/>
      <c r="O25" s="806"/>
    </row>
    <row r="26" spans="2:15" ht="14.25" customHeight="1">
      <c r="B26" s="804"/>
      <c r="C26" s="814"/>
      <c r="D26" s="818"/>
      <c r="E26" s="819"/>
      <c r="F26" s="819"/>
      <c r="G26" s="13"/>
      <c r="H26" s="819"/>
      <c r="I26" s="819"/>
      <c r="J26" s="819"/>
      <c r="K26" s="819"/>
      <c r="L26" s="819"/>
      <c r="M26" s="820"/>
      <c r="N26" s="814"/>
      <c r="O26" s="806"/>
    </row>
    <row r="27" spans="2:15" ht="14.25" customHeight="1">
      <c r="B27" s="804"/>
      <c r="C27" s="814"/>
      <c r="D27" s="818"/>
      <c r="E27" s="819"/>
      <c r="F27" s="819"/>
      <c r="G27" s="14"/>
      <c r="H27" s="819"/>
      <c r="I27" s="819"/>
      <c r="J27" s="819"/>
      <c r="K27" s="819"/>
      <c r="L27" s="819"/>
      <c r="M27" s="820"/>
      <c r="N27" s="814"/>
      <c r="O27" s="806"/>
    </row>
    <row r="28" spans="2:15" ht="14.25" customHeight="1">
      <c r="B28" s="821"/>
      <c r="C28" s="822"/>
      <c r="D28" s="823"/>
      <c r="E28" s="824"/>
      <c r="F28" s="824"/>
      <c r="G28" s="15"/>
      <c r="H28" s="824"/>
      <c r="I28" s="824"/>
      <c r="J28" s="824"/>
      <c r="K28" s="824"/>
      <c r="L28" s="824"/>
      <c r="M28" s="825"/>
      <c r="N28" s="822"/>
      <c r="O28" s="826"/>
    </row>
    <row r="29" spans="2:15" ht="4.5" customHeight="1"/>
    <row r="30" spans="2:15" ht="14.25" customHeight="1">
      <c r="B30" s="551"/>
      <c r="C30" s="815"/>
      <c r="D30" s="816"/>
      <c r="E30" s="552"/>
      <c r="F30" s="552"/>
      <c r="G30" s="12"/>
      <c r="H30" s="552"/>
      <c r="I30" s="552"/>
      <c r="J30" s="552"/>
      <c r="K30" s="552"/>
      <c r="L30" s="552"/>
      <c r="M30" s="553"/>
      <c r="N30" s="815"/>
      <c r="O30" s="817"/>
    </row>
    <row r="31" spans="2:15" ht="14.25" customHeight="1">
      <c r="B31" s="804"/>
      <c r="C31" s="814"/>
      <c r="D31" s="818"/>
      <c r="E31" s="819"/>
      <c r="F31" s="819"/>
      <c r="G31" s="13"/>
      <c r="H31" s="819"/>
      <c r="I31" s="819"/>
      <c r="J31" s="819"/>
      <c r="K31" s="819"/>
      <c r="L31" s="819"/>
      <c r="M31" s="820"/>
      <c r="N31" s="814"/>
      <c r="O31" s="806"/>
    </row>
    <row r="32" spans="2:15" ht="14.25" customHeight="1">
      <c r="B32" s="804"/>
      <c r="C32" s="814"/>
      <c r="D32" s="818"/>
      <c r="E32" s="819"/>
      <c r="F32" s="819"/>
      <c r="G32" s="13"/>
      <c r="H32" s="819"/>
      <c r="I32" s="819"/>
      <c r="J32" s="819"/>
      <c r="K32" s="819"/>
      <c r="L32" s="819"/>
      <c r="M32" s="820"/>
      <c r="N32" s="814"/>
      <c r="O32" s="806"/>
    </row>
    <row r="33" spans="2:15" ht="14.25" customHeight="1">
      <c r="B33" s="804"/>
      <c r="C33" s="814"/>
      <c r="D33" s="818"/>
      <c r="E33" s="819"/>
      <c r="F33" s="819"/>
      <c r="G33" s="14"/>
      <c r="H33" s="819"/>
      <c r="I33" s="819"/>
      <c r="J33" s="819"/>
      <c r="K33" s="819"/>
      <c r="L33" s="819"/>
      <c r="M33" s="820"/>
      <c r="N33" s="814"/>
      <c r="O33" s="806"/>
    </row>
    <row r="34" spans="2:15" ht="14.25" customHeight="1">
      <c r="B34" s="821"/>
      <c r="C34" s="822"/>
      <c r="D34" s="823"/>
      <c r="E34" s="824"/>
      <c r="F34" s="824"/>
      <c r="G34" s="15"/>
      <c r="H34" s="824"/>
      <c r="I34" s="824"/>
      <c r="J34" s="824"/>
      <c r="K34" s="824"/>
      <c r="L34" s="824"/>
      <c r="M34" s="825"/>
      <c r="N34" s="822"/>
      <c r="O34" s="826"/>
    </row>
    <row r="35" spans="2:15" ht="3.75" customHeight="1"/>
    <row r="36" spans="2:15" ht="14.25" customHeight="1">
      <c r="B36" s="551"/>
      <c r="C36" s="815"/>
      <c r="D36" s="816"/>
      <c r="E36" s="552"/>
      <c r="F36" s="552"/>
      <c r="G36" s="12"/>
      <c r="H36" s="552"/>
      <c r="I36" s="552"/>
      <c r="J36" s="552"/>
      <c r="K36" s="552"/>
      <c r="L36" s="552"/>
      <c r="M36" s="553"/>
      <c r="N36" s="815"/>
      <c r="O36" s="817"/>
    </row>
    <row r="37" spans="2:15" ht="14.25" customHeight="1">
      <c r="B37" s="804"/>
      <c r="C37" s="814"/>
      <c r="D37" s="818"/>
      <c r="E37" s="819"/>
      <c r="F37" s="819"/>
      <c r="G37" s="13"/>
      <c r="H37" s="819"/>
      <c r="I37" s="819"/>
      <c r="J37" s="819"/>
      <c r="K37" s="819"/>
      <c r="L37" s="819"/>
      <c r="M37" s="820"/>
      <c r="N37" s="814"/>
      <c r="O37" s="806"/>
    </row>
    <row r="38" spans="2:15" ht="14.25" customHeight="1">
      <c r="B38" s="804"/>
      <c r="C38" s="814"/>
      <c r="D38" s="818"/>
      <c r="E38" s="819"/>
      <c r="F38" s="819"/>
      <c r="G38" s="13"/>
      <c r="H38" s="819"/>
      <c r="I38" s="819"/>
      <c r="J38" s="819"/>
      <c r="K38" s="819"/>
      <c r="L38" s="819"/>
      <c r="M38" s="820"/>
      <c r="N38" s="814"/>
      <c r="O38" s="806"/>
    </row>
    <row r="39" spans="2:15" ht="14.25" customHeight="1">
      <c r="B39" s="804"/>
      <c r="C39" s="814"/>
      <c r="D39" s="818"/>
      <c r="E39" s="819"/>
      <c r="F39" s="819"/>
      <c r="G39" s="14"/>
      <c r="H39" s="819"/>
      <c r="I39" s="819"/>
      <c r="J39" s="819"/>
      <c r="K39" s="819"/>
      <c r="L39" s="819"/>
      <c r="M39" s="820"/>
      <c r="N39" s="814"/>
      <c r="O39" s="806"/>
    </row>
    <row r="40" spans="2:15" ht="14.25" customHeight="1">
      <c r="B40" s="821"/>
      <c r="C40" s="822"/>
      <c r="D40" s="823"/>
      <c r="E40" s="824"/>
      <c r="F40" s="824"/>
      <c r="G40" s="15"/>
      <c r="H40" s="824"/>
      <c r="I40" s="824"/>
      <c r="J40" s="824"/>
      <c r="K40" s="824"/>
      <c r="L40" s="824"/>
      <c r="M40" s="825"/>
      <c r="N40" s="822"/>
      <c r="O40" s="826"/>
    </row>
    <row r="41" spans="2:15" ht="6" customHeight="1"/>
    <row r="42" spans="2:15" ht="14.25" customHeight="1">
      <c r="B42" s="551"/>
      <c r="C42" s="815"/>
      <c r="D42" s="816"/>
      <c r="E42" s="552"/>
      <c r="F42" s="552"/>
      <c r="G42" s="12"/>
      <c r="H42" s="552"/>
      <c r="I42" s="552"/>
      <c r="J42" s="552"/>
      <c r="K42" s="552"/>
      <c r="L42" s="552"/>
      <c r="M42" s="553"/>
      <c r="N42" s="815"/>
      <c r="O42" s="817"/>
    </row>
    <row r="43" spans="2:15" ht="14.25" customHeight="1">
      <c r="B43" s="804"/>
      <c r="C43" s="814"/>
      <c r="D43" s="818"/>
      <c r="E43" s="819"/>
      <c r="F43" s="819"/>
      <c r="G43" s="13"/>
      <c r="H43" s="819"/>
      <c r="I43" s="819"/>
      <c r="J43" s="819"/>
      <c r="K43" s="819"/>
      <c r="L43" s="819"/>
      <c r="M43" s="820"/>
      <c r="N43" s="814"/>
      <c r="O43" s="806"/>
    </row>
    <row r="44" spans="2:15" ht="14.25" customHeight="1">
      <c r="B44" s="804"/>
      <c r="C44" s="814"/>
      <c r="D44" s="818"/>
      <c r="E44" s="819"/>
      <c r="F44" s="819"/>
      <c r="G44" s="13"/>
      <c r="H44" s="819"/>
      <c r="I44" s="819"/>
      <c r="J44" s="819"/>
      <c r="K44" s="819"/>
      <c r="L44" s="819"/>
      <c r="M44" s="820"/>
      <c r="N44" s="814"/>
      <c r="O44" s="806"/>
    </row>
    <row r="45" spans="2:15" ht="14.25" customHeight="1">
      <c r="B45" s="804"/>
      <c r="C45" s="814"/>
      <c r="D45" s="818"/>
      <c r="E45" s="819"/>
      <c r="F45" s="819"/>
      <c r="G45" s="14"/>
      <c r="H45" s="819"/>
      <c r="I45" s="819"/>
      <c r="J45" s="819"/>
      <c r="K45" s="819"/>
      <c r="L45" s="819"/>
      <c r="M45" s="820"/>
      <c r="N45" s="814"/>
      <c r="O45" s="806"/>
    </row>
    <row r="46" spans="2:15" ht="14.25" customHeight="1">
      <c r="B46" s="821"/>
      <c r="C46" s="822"/>
      <c r="D46" s="823"/>
      <c r="E46" s="824"/>
      <c r="F46" s="824"/>
      <c r="G46" s="15"/>
      <c r="H46" s="824"/>
      <c r="I46" s="824"/>
      <c r="J46" s="824"/>
      <c r="K46" s="824"/>
      <c r="L46" s="824"/>
      <c r="M46" s="825"/>
      <c r="N46" s="822"/>
      <c r="O46" s="826"/>
    </row>
    <row r="47" spans="2:15" ht="4.5" customHeight="1"/>
    <row r="48" spans="2:15" ht="14.25" customHeight="1">
      <c r="B48" s="551"/>
      <c r="C48" s="815"/>
      <c r="D48" s="816"/>
      <c r="E48" s="552"/>
      <c r="F48" s="552"/>
      <c r="G48" s="12"/>
      <c r="H48" s="552"/>
      <c r="I48" s="552"/>
      <c r="J48" s="552"/>
      <c r="K48" s="552"/>
      <c r="L48" s="552"/>
      <c r="M48" s="553"/>
      <c r="N48" s="815"/>
      <c r="O48" s="817"/>
    </row>
    <row r="49" spans="2:15" ht="14.25" customHeight="1">
      <c r="B49" s="804"/>
      <c r="C49" s="814"/>
      <c r="D49" s="818"/>
      <c r="E49" s="819"/>
      <c r="F49" s="819"/>
      <c r="G49" s="13"/>
      <c r="H49" s="819"/>
      <c r="I49" s="819"/>
      <c r="J49" s="819"/>
      <c r="K49" s="819"/>
      <c r="L49" s="819"/>
      <c r="M49" s="820"/>
      <c r="N49" s="814"/>
      <c r="O49" s="806"/>
    </row>
    <row r="50" spans="2:15" ht="14.25" customHeight="1">
      <c r="B50" s="804"/>
      <c r="C50" s="814"/>
      <c r="D50" s="818"/>
      <c r="E50" s="819"/>
      <c r="F50" s="819"/>
      <c r="G50" s="13"/>
      <c r="H50" s="819"/>
      <c r="I50" s="819"/>
      <c r="J50" s="819"/>
      <c r="K50" s="819"/>
      <c r="L50" s="819"/>
      <c r="M50" s="820"/>
      <c r="N50" s="814"/>
      <c r="O50" s="806"/>
    </row>
    <row r="51" spans="2:15" ht="14.25" customHeight="1">
      <c r="B51" s="804"/>
      <c r="C51" s="814"/>
      <c r="D51" s="818"/>
      <c r="E51" s="819"/>
      <c r="F51" s="819"/>
      <c r="G51" s="14"/>
      <c r="H51" s="819"/>
      <c r="I51" s="819"/>
      <c r="J51" s="819"/>
      <c r="K51" s="819"/>
      <c r="L51" s="819"/>
      <c r="M51" s="820"/>
      <c r="N51" s="814"/>
      <c r="O51" s="806"/>
    </row>
    <row r="52" spans="2:15" ht="14.25" customHeight="1">
      <c r="B52" s="821"/>
      <c r="C52" s="822"/>
      <c r="D52" s="823"/>
      <c r="E52" s="824"/>
      <c r="F52" s="824"/>
      <c r="G52" s="15"/>
      <c r="H52" s="824"/>
      <c r="I52" s="824"/>
      <c r="J52" s="824"/>
      <c r="K52" s="824"/>
      <c r="L52" s="824"/>
      <c r="M52" s="825"/>
      <c r="N52" s="822"/>
      <c r="O52" s="826"/>
    </row>
    <row r="53" spans="2:15" ht="14.25" customHeight="1"/>
    <row r="54" spans="2:15" ht="14.25" customHeight="1"/>
    <row r="55" spans="2:15" ht="14.25" customHeight="1"/>
    <row r="56" spans="2:15" ht="14.25" customHeight="1"/>
    <row r="57" spans="2:15" ht="14.25" customHeight="1"/>
    <row r="58" spans="2:15" ht="14.25" customHeight="1"/>
    <row r="59" spans="2:15" ht="14.25" customHeight="1"/>
    <row r="60" spans="2:15" ht="14.25" customHeight="1"/>
    <row r="61" spans="2:15" ht="14.25" customHeight="1"/>
    <row r="62" spans="2:15" ht="14.25" customHeight="1"/>
    <row r="63" spans="2:15" ht="14.25" customHeight="1"/>
    <row r="64" spans="2:1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6">
    <mergeCell ref="K30:K34"/>
    <mergeCell ref="L30:L34"/>
    <mergeCell ref="M30:O34"/>
    <mergeCell ref="B24:D28"/>
    <mergeCell ref="B30:D34"/>
    <mergeCell ref="E30:E34"/>
    <mergeCell ref="F30:F34"/>
    <mergeCell ref="H30:H34"/>
    <mergeCell ref="I30:I34"/>
    <mergeCell ref="J30:J34"/>
    <mergeCell ref="H24:H28"/>
    <mergeCell ref="I24:I28"/>
    <mergeCell ref="J24:J28"/>
    <mergeCell ref="K24:K28"/>
    <mergeCell ref="L24:L28"/>
    <mergeCell ref="M24:O28"/>
    <mergeCell ref="L36:L40"/>
    <mergeCell ref="M36:O40"/>
    <mergeCell ref="B36:D40"/>
    <mergeCell ref="E36:E40"/>
    <mergeCell ref="F36:F40"/>
    <mergeCell ref="H36:H40"/>
    <mergeCell ref="I36:I40"/>
    <mergeCell ref="J36:J40"/>
    <mergeCell ref="K36:K40"/>
    <mergeCell ref="L42:L46"/>
    <mergeCell ref="M42:O46"/>
    <mergeCell ref="B42:D46"/>
    <mergeCell ref="E42:E46"/>
    <mergeCell ref="F42:F46"/>
    <mergeCell ref="H42:H46"/>
    <mergeCell ref="I42:I46"/>
    <mergeCell ref="J42:J46"/>
    <mergeCell ref="K42:K46"/>
    <mergeCell ref="L48:L52"/>
    <mergeCell ref="M48:O52"/>
    <mergeCell ref="B48:D52"/>
    <mergeCell ref="E48:E52"/>
    <mergeCell ref="F48:F52"/>
    <mergeCell ref="H48:H52"/>
    <mergeCell ref="I48:I52"/>
    <mergeCell ref="J48:J52"/>
    <mergeCell ref="K48:K52"/>
    <mergeCell ref="B2:O2"/>
    <mergeCell ref="C3:E3"/>
    <mergeCell ref="I3:O3"/>
    <mergeCell ref="C4:E4"/>
    <mergeCell ref="I4:O4"/>
    <mergeCell ref="B5:O6"/>
    <mergeCell ref="J7:O7"/>
    <mergeCell ref="J12:J16"/>
    <mergeCell ref="K12:K16"/>
    <mergeCell ref="L12:L16"/>
    <mergeCell ref="M12:O16"/>
    <mergeCell ref="F12:F16"/>
    <mergeCell ref="M18:O22"/>
    <mergeCell ref="B7:I7"/>
    <mergeCell ref="B8:I8"/>
    <mergeCell ref="J8:O8"/>
    <mergeCell ref="B10:D10"/>
    <mergeCell ref="M10:O10"/>
    <mergeCell ref="B11:D11"/>
    <mergeCell ref="B12:D16"/>
    <mergeCell ref="H12:H16"/>
    <mergeCell ref="I12:I16"/>
    <mergeCell ref="H18:H22"/>
    <mergeCell ref="I18:I22"/>
    <mergeCell ref="J18:J22"/>
    <mergeCell ref="K18:K22"/>
    <mergeCell ref="L18:L22"/>
    <mergeCell ref="E12:E16"/>
    <mergeCell ref="B18:D22"/>
    <mergeCell ref="E18:E22"/>
    <mergeCell ref="F18:F22"/>
    <mergeCell ref="E24:E28"/>
    <mergeCell ref="F24:F28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000"/>
  <sheetViews>
    <sheetView workbookViewId="0"/>
  </sheetViews>
  <sheetFormatPr defaultColWidth="12.625" defaultRowHeight="15" customHeight="1"/>
  <cols>
    <col min="1" max="1" width="6.625" customWidth="1"/>
    <col min="2" max="2" width="13.25" customWidth="1"/>
    <col min="3" max="3" width="13" customWidth="1"/>
    <col min="4" max="4" width="13.125" customWidth="1"/>
    <col min="5" max="5" width="15.875" customWidth="1"/>
    <col min="6" max="6" width="34.625" customWidth="1"/>
    <col min="7" max="7" width="40.625" customWidth="1"/>
    <col min="8" max="8" width="11.25" customWidth="1"/>
    <col min="9" max="10" width="10" customWidth="1"/>
    <col min="11" max="11" width="11.75" customWidth="1"/>
    <col min="12" max="12" width="6.875" customWidth="1"/>
    <col min="13" max="13" width="10.75" customWidth="1"/>
    <col min="14" max="14" width="11.75" customWidth="1"/>
    <col min="15" max="26" width="10" customWidth="1"/>
  </cols>
  <sheetData>
    <row r="1" spans="1:14" ht="30.7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4.25" customHeight="1">
      <c r="B2" s="554" t="s">
        <v>0</v>
      </c>
      <c r="C2" s="797"/>
      <c r="D2" s="797"/>
      <c r="E2" s="797"/>
      <c r="F2" s="797"/>
      <c r="G2" s="797"/>
      <c r="H2" s="797"/>
      <c r="I2" s="797"/>
      <c r="J2" s="797"/>
      <c r="K2" s="797"/>
      <c r="L2" s="797"/>
      <c r="M2" s="797"/>
      <c r="N2" s="798"/>
    </row>
    <row r="3" spans="1:14" ht="14.25" customHeight="1">
      <c r="B3" s="1" t="s">
        <v>1</v>
      </c>
      <c r="C3" s="2" t="s">
        <v>2</v>
      </c>
      <c r="D3" s="2"/>
      <c r="E3" s="2" t="s">
        <v>3</v>
      </c>
      <c r="F3" s="2" t="s">
        <v>4</v>
      </c>
      <c r="G3" s="2" t="s">
        <v>5</v>
      </c>
      <c r="H3" s="563" t="s">
        <v>6</v>
      </c>
      <c r="I3" s="799"/>
      <c r="J3" s="799"/>
      <c r="K3" s="799"/>
      <c r="L3" s="799"/>
      <c r="M3" s="799"/>
      <c r="N3" s="801"/>
    </row>
    <row r="4" spans="1:14" ht="14.25" customHeight="1">
      <c r="B4" s="7" t="s">
        <v>7</v>
      </c>
      <c r="C4" s="8" t="s">
        <v>8</v>
      </c>
      <c r="D4" s="8"/>
      <c r="E4" s="8" t="s">
        <v>9</v>
      </c>
      <c r="F4" s="8" t="s">
        <v>9</v>
      </c>
      <c r="G4" s="3">
        <v>43528</v>
      </c>
      <c r="H4" s="564" t="s">
        <v>10</v>
      </c>
      <c r="I4" s="799"/>
      <c r="J4" s="799"/>
      <c r="K4" s="799"/>
      <c r="L4" s="799"/>
      <c r="M4" s="799"/>
      <c r="N4" s="801"/>
    </row>
    <row r="5" spans="1:14" ht="14.25" customHeight="1">
      <c r="B5" s="560" t="s">
        <v>24</v>
      </c>
      <c r="C5" s="802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3"/>
    </row>
    <row r="6" spans="1:14" ht="14.25" customHeight="1">
      <c r="B6" s="804"/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  <c r="N6" s="806"/>
    </row>
    <row r="7" spans="1:14" ht="14.25" customHeight="1">
      <c r="B7" s="554" t="s">
        <v>12</v>
      </c>
      <c r="C7" s="797"/>
      <c r="D7" s="797"/>
      <c r="E7" s="797"/>
      <c r="F7" s="797"/>
      <c r="G7" s="797"/>
      <c r="H7" s="807"/>
      <c r="I7" s="561" t="s">
        <v>13</v>
      </c>
      <c r="J7" s="797"/>
      <c r="K7" s="797"/>
      <c r="L7" s="797"/>
      <c r="M7" s="797"/>
      <c r="N7" s="798"/>
    </row>
    <row r="8" spans="1:14" ht="14.25" customHeight="1">
      <c r="B8" s="555"/>
      <c r="C8" s="808"/>
      <c r="D8" s="808"/>
      <c r="E8" s="808"/>
      <c r="F8" s="808"/>
      <c r="G8" s="808"/>
      <c r="H8" s="809"/>
      <c r="I8" s="556"/>
      <c r="J8" s="808"/>
      <c r="K8" s="808"/>
      <c r="L8" s="808"/>
      <c r="M8" s="808"/>
      <c r="N8" s="810"/>
    </row>
    <row r="9" spans="1:14" ht="14.25" customHeight="1">
      <c r="B9" s="48"/>
      <c r="C9" s="48"/>
      <c r="D9" s="48"/>
      <c r="E9" s="48"/>
      <c r="F9" s="48"/>
      <c r="G9" s="48"/>
      <c r="H9" s="48"/>
      <c r="I9" s="49"/>
      <c r="J9" s="49"/>
      <c r="K9" s="49"/>
      <c r="L9" s="49"/>
      <c r="M9" s="49"/>
      <c r="N9" s="49"/>
    </row>
    <row r="10" spans="1:14" ht="42" customHeight="1">
      <c r="B10" s="565" t="s">
        <v>25</v>
      </c>
      <c r="C10" s="815"/>
      <c r="D10" s="816"/>
      <c r="E10" s="566" t="s">
        <v>26</v>
      </c>
      <c r="F10" s="566" t="s">
        <v>17</v>
      </c>
      <c r="G10" s="566" t="s">
        <v>27</v>
      </c>
      <c r="H10" s="567" t="s">
        <v>28</v>
      </c>
      <c r="I10" s="797"/>
      <c r="J10" s="797"/>
      <c r="K10" s="807"/>
      <c r="L10" s="568" t="s">
        <v>29</v>
      </c>
      <c r="M10" s="797"/>
      <c r="N10" s="798"/>
    </row>
    <row r="11" spans="1:14" ht="55.5" customHeight="1">
      <c r="B11" s="821"/>
      <c r="C11" s="822"/>
      <c r="D11" s="823"/>
      <c r="E11" s="824"/>
      <c r="F11" s="824"/>
      <c r="G11" s="824"/>
      <c r="H11" s="16" t="s">
        <v>30</v>
      </c>
      <c r="I11" s="16" t="s">
        <v>31</v>
      </c>
      <c r="J11" s="16" t="s">
        <v>32</v>
      </c>
      <c r="K11" s="16" t="s">
        <v>33</v>
      </c>
      <c r="L11" s="569" t="s">
        <v>34</v>
      </c>
      <c r="M11" s="808"/>
      <c r="N11" s="810"/>
    </row>
    <row r="12" spans="1:14" ht="7.5" customHeight="1">
      <c r="B12" s="559"/>
      <c r="C12" s="814"/>
      <c r="D12" s="81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4.25" customHeight="1">
      <c r="B13" s="551"/>
      <c r="C13" s="815"/>
      <c r="D13" s="816"/>
      <c r="E13" s="552"/>
      <c r="F13" s="12"/>
      <c r="G13" s="552"/>
      <c r="H13" s="552"/>
      <c r="I13" s="552"/>
      <c r="J13" s="552"/>
      <c r="K13" s="552"/>
      <c r="L13" s="553"/>
      <c r="M13" s="815"/>
      <c r="N13" s="817"/>
    </row>
    <row r="14" spans="1:14" ht="14.25" customHeight="1">
      <c r="B14" s="804"/>
      <c r="C14" s="814"/>
      <c r="D14" s="818"/>
      <c r="E14" s="819"/>
      <c r="F14" s="13"/>
      <c r="G14" s="819"/>
      <c r="H14" s="819"/>
      <c r="I14" s="819"/>
      <c r="J14" s="819"/>
      <c r="K14" s="819"/>
      <c r="L14" s="820"/>
      <c r="M14" s="814"/>
      <c r="N14" s="806"/>
    </row>
    <row r="15" spans="1:14" ht="14.25" customHeight="1">
      <c r="B15" s="804"/>
      <c r="C15" s="814"/>
      <c r="D15" s="818"/>
      <c r="E15" s="819"/>
      <c r="F15" s="13"/>
      <c r="G15" s="819"/>
      <c r="H15" s="819"/>
      <c r="I15" s="819"/>
      <c r="J15" s="819"/>
      <c r="K15" s="819"/>
      <c r="L15" s="820"/>
      <c r="M15" s="814"/>
      <c r="N15" s="806"/>
    </row>
    <row r="16" spans="1:14" ht="14.25" customHeight="1">
      <c r="B16" s="804"/>
      <c r="C16" s="814"/>
      <c r="D16" s="818"/>
      <c r="E16" s="819"/>
      <c r="F16" s="14"/>
      <c r="G16" s="819"/>
      <c r="H16" s="819"/>
      <c r="I16" s="819"/>
      <c r="J16" s="819"/>
      <c r="K16" s="819"/>
      <c r="L16" s="820"/>
      <c r="M16" s="814"/>
      <c r="N16" s="806"/>
    </row>
    <row r="17" spans="2:14" ht="14.25" customHeight="1">
      <c r="B17" s="821"/>
      <c r="C17" s="822"/>
      <c r="D17" s="823"/>
      <c r="E17" s="824"/>
      <c r="F17" s="15"/>
      <c r="G17" s="824"/>
      <c r="H17" s="824"/>
      <c r="I17" s="824"/>
      <c r="J17" s="824"/>
      <c r="K17" s="824"/>
      <c r="L17" s="825"/>
      <c r="M17" s="822"/>
      <c r="N17" s="826"/>
    </row>
    <row r="18" spans="2:14" ht="7.5" customHeight="1"/>
    <row r="19" spans="2:14" ht="14.25" customHeight="1">
      <c r="B19" s="551"/>
      <c r="C19" s="815"/>
      <c r="D19" s="816"/>
      <c r="E19" s="552"/>
      <c r="F19" s="12"/>
      <c r="G19" s="552"/>
      <c r="H19" s="552"/>
      <c r="I19" s="552"/>
      <c r="J19" s="552"/>
      <c r="K19" s="552"/>
      <c r="L19" s="553"/>
      <c r="M19" s="815"/>
      <c r="N19" s="817"/>
    </row>
    <row r="20" spans="2:14" ht="14.25" customHeight="1">
      <c r="B20" s="804"/>
      <c r="C20" s="814"/>
      <c r="D20" s="818"/>
      <c r="E20" s="819"/>
      <c r="F20" s="13"/>
      <c r="G20" s="819"/>
      <c r="H20" s="819"/>
      <c r="I20" s="819"/>
      <c r="J20" s="819"/>
      <c r="K20" s="819"/>
      <c r="L20" s="820"/>
      <c r="M20" s="814"/>
      <c r="N20" s="806"/>
    </row>
    <row r="21" spans="2:14" ht="14.25" customHeight="1">
      <c r="B21" s="804"/>
      <c r="C21" s="814"/>
      <c r="D21" s="818"/>
      <c r="E21" s="819"/>
      <c r="F21" s="13"/>
      <c r="G21" s="819"/>
      <c r="H21" s="819"/>
      <c r="I21" s="819"/>
      <c r="J21" s="819"/>
      <c r="K21" s="819"/>
      <c r="L21" s="820"/>
      <c r="M21" s="814"/>
      <c r="N21" s="806"/>
    </row>
    <row r="22" spans="2:14" ht="14.25" customHeight="1">
      <c r="B22" s="804"/>
      <c r="C22" s="814"/>
      <c r="D22" s="818"/>
      <c r="E22" s="819"/>
      <c r="F22" s="14"/>
      <c r="G22" s="819"/>
      <c r="H22" s="819"/>
      <c r="I22" s="819"/>
      <c r="J22" s="819"/>
      <c r="K22" s="819"/>
      <c r="L22" s="820"/>
      <c r="M22" s="814"/>
      <c r="N22" s="806"/>
    </row>
    <row r="23" spans="2:14" ht="14.25" customHeight="1">
      <c r="B23" s="821"/>
      <c r="C23" s="822"/>
      <c r="D23" s="823"/>
      <c r="E23" s="824"/>
      <c r="F23" s="15"/>
      <c r="G23" s="824"/>
      <c r="H23" s="824"/>
      <c r="I23" s="824"/>
      <c r="J23" s="824"/>
      <c r="K23" s="824"/>
      <c r="L23" s="825"/>
      <c r="M23" s="822"/>
      <c r="N23" s="826"/>
    </row>
    <row r="24" spans="2:14" ht="3.75" customHeight="1"/>
    <row r="25" spans="2:14" ht="14.25" customHeight="1">
      <c r="B25" s="551"/>
      <c r="C25" s="815"/>
      <c r="D25" s="816"/>
      <c r="E25" s="552"/>
      <c r="F25" s="12"/>
      <c r="G25" s="552"/>
      <c r="H25" s="552"/>
      <c r="I25" s="552"/>
      <c r="J25" s="552"/>
      <c r="K25" s="552"/>
      <c r="L25" s="553"/>
      <c r="M25" s="815"/>
      <c r="N25" s="817"/>
    </row>
    <row r="26" spans="2:14" ht="14.25" customHeight="1">
      <c r="B26" s="804"/>
      <c r="C26" s="814"/>
      <c r="D26" s="818"/>
      <c r="E26" s="819"/>
      <c r="F26" s="13"/>
      <c r="G26" s="819"/>
      <c r="H26" s="819"/>
      <c r="I26" s="819"/>
      <c r="J26" s="819"/>
      <c r="K26" s="819"/>
      <c r="L26" s="820"/>
      <c r="M26" s="814"/>
      <c r="N26" s="806"/>
    </row>
    <row r="27" spans="2:14" ht="14.25" customHeight="1">
      <c r="B27" s="804"/>
      <c r="C27" s="814"/>
      <c r="D27" s="818"/>
      <c r="E27" s="819"/>
      <c r="F27" s="13"/>
      <c r="G27" s="819"/>
      <c r="H27" s="819"/>
      <c r="I27" s="819"/>
      <c r="J27" s="819"/>
      <c r="K27" s="819"/>
      <c r="L27" s="820"/>
      <c r="M27" s="814"/>
      <c r="N27" s="806"/>
    </row>
    <row r="28" spans="2:14" ht="14.25" customHeight="1">
      <c r="B28" s="804"/>
      <c r="C28" s="814"/>
      <c r="D28" s="818"/>
      <c r="E28" s="819"/>
      <c r="F28" s="14"/>
      <c r="G28" s="819"/>
      <c r="H28" s="819"/>
      <c r="I28" s="819"/>
      <c r="J28" s="819"/>
      <c r="K28" s="819"/>
      <c r="L28" s="820"/>
      <c r="M28" s="814"/>
      <c r="N28" s="806"/>
    </row>
    <row r="29" spans="2:14" ht="14.25" customHeight="1">
      <c r="B29" s="821"/>
      <c r="C29" s="822"/>
      <c r="D29" s="823"/>
      <c r="E29" s="824"/>
      <c r="F29" s="15"/>
      <c r="G29" s="824"/>
      <c r="H29" s="824"/>
      <c r="I29" s="824"/>
      <c r="J29" s="824"/>
      <c r="K29" s="824"/>
      <c r="L29" s="825"/>
      <c r="M29" s="822"/>
      <c r="N29" s="826"/>
    </row>
    <row r="30" spans="2:14" ht="4.5" customHeight="1"/>
    <row r="31" spans="2:14" ht="14.25" customHeight="1">
      <c r="B31" s="551"/>
      <c r="C31" s="815"/>
      <c r="D31" s="816"/>
      <c r="E31" s="552"/>
      <c r="F31" s="12"/>
      <c r="G31" s="552"/>
      <c r="H31" s="552"/>
      <c r="I31" s="552"/>
      <c r="J31" s="552"/>
      <c r="K31" s="552"/>
      <c r="L31" s="553"/>
      <c r="M31" s="815"/>
      <c r="N31" s="817"/>
    </row>
    <row r="32" spans="2:14" ht="14.25" customHeight="1">
      <c r="B32" s="804"/>
      <c r="C32" s="814"/>
      <c r="D32" s="818"/>
      <c r="E32" s="819"/>
      <c r="F32" s="13"/>
      <c r="G32" s="819"/>
      <c r="H32" s="819"/>
      <c r="I32" s="819"/>
      <c r="J32" s="819"/>
      <c r="K32" s="819"/>
      <c r="L32" s="820"/>
      <c r="M32" s="814"/>
      <c r="N32" s="806"/>
    </row>
    <row r="33" spans="2:14" ht="14.25" customHeight="1">
      <c r="B33" s="804"/>
      <c r="C33" s="814"/>
      <c r="D33" s="818"/>
      <c r="E33" s="819"/>
      <c r="F33" s="13"/>
      <c r="G33" s="819"/>
      <c r="H33" s="819"/>
      <c r="I33" s="819"/>
      <c r="J33" s="819"/>
      <c r="K33" s="819"/>
      <c r="L33" s="820"/>
      <c r="M33" s="814"/>
      <c r="N33" s="806"/>
    </row>
    <row r="34" spans="2:14" ht="14.25" customHeight="1">
      <c r="B34" s="804"/>
      <c r="C34" s="814"/>
      <c r="D34" s="818"/>
      <c r="E34" s="819"/>
      <c r="F34" s="14"/>
      <c r="G34" s="819"/>
      <c r="H34" s="819"/>
      <c r="I34" s="819"/>
      <c r="J34" s="819"/>
      <c r="K34" s="819"/>
      <c r="L34" s="820"/>
      <c r="M34" s="814"/>
      <c r="N34" s="806"/>
    </row>
    <row r="35" spans="2:14" ht="14.25" customHeight="1">
      <c r="B35" s="821"/>
      <c r="C35" s="822"/>
      <c r="D35" s="823"/>
      <c r="E35" s="824"/>
      <c r="F35" s="15"/>
      <c r="G35" s="824"/>
      <c r="H35" s="824"/>
      <c r="I35" s="824"/>
      <c r="J35" s="824"/>
      <c r="K35" s="824"/>
      <c r="L35" s="825"/>
      <c r="M35" s="822"/>
      <c r="N35" s="826"/>
    </row>
    <row r="36" spans="2:14" ht="3.75" customHeight="1"/>
    <row r="37" spans="2:14" ht="14.25" customHeight="1">
      <c r="B37" s="551"/>
      <c r="C37" s="815"/>
      <c r="D37" s="816"/>
      <c r="E37" s="552"/>
      <c r="F37" s="12"/>
      <c r="G37" s="552"/>
      <c r="H37" s="552"/>
      <c r="I37" s="552"/>
      <c r="J37" s="552"/>
      <c r="K37" s="552"/>
      <c r="L37" s="553"/>
      <c r="M37" s="815"/>
      <c r="N37" s="817"/>
    </row>
    <row r="38" spans="2:14" ht="14.25" customHeight="1">
      <c r="B38" s="804"/>
      <c r="C38" s="814"/>
      <c r="D38" s="818"/>
      <c r="E38" s="819"/>
      <c r="F38" s="13"/>
      <c r="G38" s="819"/>
      <c r="H38" s="819"/>
      <c r="I38" s="819"/>
      <c r="J38" s="819"/>
      <c r="K38" s="819"/>
      <c r="L38" s="820"/>
      <c r="M38" s="814"/>
      <c r="N38" s="806"/>
    </row>
    <row r="39" spans="2:14" ht="14.25" customHeight="1">
      <c r="B39" s="804"/>
      <c r="C39" s="814"/>
      <c r="D39" s="818"/>
      <c r="E39" s="819"/>
      <c r="F39" s="13"/>
      <c r="G39" s="819"/>
      <c r="H39" s="819"/>
      <c r="I39" s="819"/>
      <c r="J39" s="819"/>
      <c r="K39" s="819"/>
      <c r="L39" s="820"/>
      <c r="M39" s="814"/>
      <c r="N39" s="806"/>
    </row>
    <row r="40" spans="2:14" ht="14.25" customHeight="1">
      <c r="B40" s="804"/>
      <c r="C40" s="814"/>
      <c r="D40" s="818"/>
      <c r="E40" s="819"/>
      <c r="F40" s="14"/>
      <c r="G40" s="819"/>
      <c r="H40" s="819"/>
      <c r="I40" s="819"/>
      <c r="J40" s="819"/>
      <c r="K40" s="819"/>
      <c r="L40" s="820"/>
      <c r="M40" s="814"/>
      <c r="N40" s="806"/>
    </row>
    <row r="41" spans="2:14" ht="14.25" customHeight="1">
      <c r="B41" s="821"/>
      <c r="C41" s="822"/>
      <c r="D41" s="823"/>
      <c r="E41" s="824"/>
      <c r="F41" s="15"/>
      <c r="G41" s="824"/>
      <c r="H41" s="824"/>
      <c r="I41" s="824"/>
      <c r="J41" s="824"/>
      <c r="K41" s="824"/>
      <c r="L41" s="825"/>
      <c r="M41" s="822"/>
      <c r="N41" s="826"/>
    </row>
    <row r="42" spans="2:14" ht="6" customHeight="1"/>
    <row r="43" spans="2:14" ht="14.25" customHeight="1">
      <c r="B43" s="551"/>
      <c r="C43" s="815"/>
      <c r="D43" s="816"/>
      <c r="E43" s="552"/>
      <c r="F43" s="12"/>
      <c r="G43" s="552"/>
      <c r="H43" s="552"/>
      <c r="I43" s="552"/>
      <c r="J43" s="552"/>
      <c r="K43" s="552"/>
      <c r="L43" s="553"/>
      <c r="M43" s="815"/>
      <c r="N43" s="817"/>
    </row>
    <row r="44" spans="2:14" ht="14.25" customHeight="1">
      <c r="B44" s="804"/>
      <c r="C44" s="814"/>
      <c r="D44" s="818"/>
      <c r="E44" s="819"/>
      <c r="F44" s="13"/>
      <c r="G44" s="819"/>
      <c r="H44" s="819"/>
      <c r="I44" s="819"/>
      <c r="J44" s="819"/>
      <c r="K44" s="819"/>
      <c r="L44" s="820"/>
      <c r="M44" s="814"/>
      <c r="N44" s="806"/>
    </row>
    <row r="45" spans="2:14" ht="14.25" customHeight="1">
      <c r="B45" s="804"/>
      <c r="C45" s="814"/>
      <c r="D45" s="818"/>
      <c r="E45" s="819"/>
      <c r="F45" s="13"/>
      <c r="G45" s="819"/>
      <c r="H45" s="819"/>
      <c r="I45" s="819"/>
      <c r="J45" s="819"/>
      <c r="K45" s="819"/>
      <c r="L45" s="820"/>
      <c r="M45" s="814"/>
      <c r="N45" s="806"/>
    </row>
    <row r="46" spans="2:14" ht="14.25" customHeight="1">
      <c r="B46" s="804"/>
      <c r="C46" s="814"/>
      <c r="D46" s="818"/>
      <c r="E46" s="819"/>
      <c r="F46" s="14"/>
      <c r="G46" s="819"/>
      <c r="H46" s="819"/>
      <c r="I46" s="819"/>
      <c r="J46" s="819"/>
      <c r="K46" s="819"/>
      <c r="L46" s="820"/>
      <c r="M46" s="814"/>
      <c r="N46" s="806"/>
    </row>
    <row r="47" spans="2:14" ht="14.25" customHeight="1">
      <c r="B47" s="821"/>
      <c r="C47" s="822"/>
      <c r="D47" s="823"/>
      <c r="E47" s="824"/>
      <c r="F47" s="15"/>
      <c r="G47" s="824"/>
      <c r="H47" s="824"/>
      <c r="I47" s="824"/>
      <c r="J47" s="824"/>
      <c r="K47" s="824"/>
      <c r="L47" s="825"/>
      <c r="M47" s="822"/>
      <c r="N47" s="826"/>
    </row>
    <row r="48" spans="2:14" ht="4.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4">
    <mergeCell ref="B19:D23"/>
    <mergeCell ref="B25:D29"/>
    <mergeCell ref="E25:E29"/>
    <mergeCell ref="G25:G29"/>
    <mergeCell ref="H25:H29"/>
    <mergeCell ref="E19:E23"/>
    <mergeCell ref="G19:G23"/>
    <mergeCell ref="H19:H23"/>
    <mergeCell ref="B31:D35"/>
    <mergeCell ref="B37:D41"/>
    <mergeCell ref="E37:E41"/>
    <mergeCell ref="G37:G41"/>
    <mergeCell ref="H37:H41"/>
    <mergeCell ref="E31:E35"/>
    <mergeCell ref="G31:G35"/>
    <mergeCell ref="H31:H35"/>
    <mergeCell ref="I8:N8"/>
    <mergeCell ref="B8:H8"/>
    <mergeCell ref="E10:E11"/>
    <mergeCell ref="F10:F11"/>
    <mergeCell ref="G10:G11"/>
    <mergeCell ref="H10:K10"/>
    <mergeCell ref="L10:N10"/>
    <mergeCell ref="L11:N11"/>
    <mergeCell ref="B2:N2"/>
    <mergeCell ref="H3:N3"/>
    <mergeCell ref="H4:N4"/>
    <mergeCell ref="B5:N6"/>
    <mergeCell ref="B7:H7"/>
    <mergeCell ref="I7:N7"/>
    <mergeCell ref="J13:J17"/>
    <mergeCell ref="K13:K17"/>
    <mergeCell ref="L13:N17"/>
    <mergeCell ref="B10:D11"/>
    <mergeCell ref="B12:D12"/>
    <mergeCell ref="B13:D17"/>
    <mergeCell ref="E13:E17"/>
    <mergeCell ref="G13:G17"/>
    <mergeCell ref="H13:H17"/>
    <mergeCell ref="I13:I17"/>
    <mergeCell ref="I19:I23"/>
    <mergeCell ref="J19:J23"/>
    <mergeCell ref="K19:K23"/>
    <mergeCell ref="L19:N23"/>
    <mergeCell ref="K37:K41"/>
    <mergeCell ref="L37:N41"/>
    <mergeCell ref="I37:I41"/>
    <mergeCell ref="J37:J41"/>
    <mergeCell ref="K25:K29"/>
    <mergeCell ref="L25:N29"/>
    <mergeCell ref="I31:I35"/>
    <mergeCell ref="J31:J35"/>
    <mergeCell ref="K31:K35"/>
    <mergeCell ref="L31:N35"/>
    <mergeCell ref="I25:I29"/>
    <mergeCell ref="J25:J29"/>
    <mergeCell ref="J43:J47"/>
    <mergeCell ref="K43:K47"/>
    <mergeCell ref="L43:N47"/>
    <mergeCell ref="B43:D47"/>
    <mergeCell ref="E43:E47"/>
    <mergeCell ref="G43:G47"/>
    <mergeCell ref="H43:H47"/>
    <mergeCell ref="I43:I47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17"/>
  <sheetViews>
    <sheetView showGridLines="0" zoomScale="85" zoomScaleNormal="85" workbookViewId="0">
      <selection activeCell="I36" sqref="I36"/>
    </sheetView>
  </sheetViews>
  <sheetFormatPr defaultColWidth="12.625" defaultRowHeight="15" customHeight="1" outlineLevelRow="2"/>
  <cols>
    <col min="1" max="1" width="28.875" customWidth="1"/>
    <col min="2" max="2" width="10.875" customWidth="1"/>
    <col min="3" max="17" width="6.625" customWidth="1"/>
    <col min="18" max="18" width="14" customWidth="1"/>
    <col min="19" max="31" width="9.375" customWidth="1"/>
  </cols>
  <sheetData>
    <row r="1" spans="1:31" ht="29.1" customHeight="1">
      <c r="A1" s="570" t="s">
        <v>35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6" customHeight="1">
      <c r="D2" s="18"/>
    </row>
    <row r="3" spans="1:31" ht="24.6" customHeight="1">
      <c r="A3" s="571" t="s">
        <v>36</v>
      </c>
      <c r="B3" s="571" t="s">
        <v>37</v>
      </c>
      <c r="C3" s="572" t="s">
        <v>38</v>
      </c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4" t="s">
        <v>39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 ht="30.6" customHeight="1">
      <c r="A4" s="571"/>
      <c r="B4" s="571"/>
      <c r="C4" s="33">
        <v>1</v>
      </c>
      <c r="D4" s="33">
        <v>2</v>
      </c>
      <c r="E4" s="33">
        <v>3</v>
      </c>
      <c r="F4" s="33">
        <v>4</v>
      </c>
      <c r="G4" s="33">
        <v>5</v>
      </c>
      <c r="H4" s="33">
        <v>6</v>
      </c>
      <c r="I4" s="33">
        <v>7</v>
      </c>
      <c r="J4" s="33">
        <v>8</v>
      </c>
      <c r="K4" s="33">
        <v>9</v>
      </c>
      <c r="L4" s="33">
        <v>10</v>
      </c>
      <c r="M4" s="33">
        <v>11</v>
      </c>
      <c r="N4" s="33">
        <v>12</v>
      </c>
      <c r="O4" s="33">
        <v>13</v>
      </c>
      <c r="P4" s="33">
        <v>14</v>
      </c>
      <c r="Q4" s="33">
        <v>15</v>
      </c>
      <c r="R4" s="575"/>
    </row>
    <row r="5" spans="1:31" ht="15" customHeight="1">
      <c r="A5" s="35" t="s">
        <v>40</v>
      </c>
      <c r="B5" s="36">
        <v>105</v>
      </c>
      <c r="C5" s="40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7">
        <f>+R6+R9+R22+R35+R37</f>
        <v>795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18" customHeight="1">
      <c r="A6" s="39" t="s">
        <v>41</v>
      </c>
      <c r="B6" s="23">
        <v>5</v>
      </c>
      <c r="C6" s="23">
        <f>+C8+C7</f>
        <v>20</v>
      </c>
      <c r="D6" s="23">
        <f t="shared" ref="D6:Q6" si="0">+D8+D7</f>
        <v>0</v>
      </c>
      <c r="E6" s="23">
        <f t="shared" si="0"/>
        <v>0</v>
      </c>
      <c r="F6" s="23">
        <f t="shared" si="0"/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/>
      <c r="K6" s="23"/>
      <c r="L6" s="23"/>
      <c r="M6" s="23"/>
      <c r="N6" s="23"/>
      <c r="O6" s="23"/>
      <c r="P6" s="23"/>
      <c r="Q6" s="23">
        <f t="shared" si="0"/>
        <v>0</v>
      </c>
      <c r="R6" s="23">
        <f>++C6+D6+E6+F6+G6+H6+I6+Q6</f>
        <v>20</v>
      </c>
      <c r="S6" s="20"/>
    </row>
    <row r="7" spans="1:31" ht="18" customHeight="1">
      <c r="A7" s="24" t="s">
        <v>42</v>
      </c>
      <c r="B7" s="37">
        <v>2</v>
      </c>
      <c r="C7" s="37">
        <v>5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20"/>
    </row>
    <row r="8" spans="1:31" ht="18" customHeight="1">
      <c r="A8" s="24" t="s">
        <v>43</v>
      </c>
      <c r="B8" s="37">
        <v>3</v>
      </c>
      <c r="C8" s="37">
        <v>15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20"/>
    </row>
    <row r="9" spans="1:31" ht="14.25" customHeight="1">
      <c r="A9" s="21" t="s">
        <v>44</v>
      </c>
      <c r="B9" s="23">
        <f>+B21+B20+B19+B18+B17+B16+B15+B14+B13+B12+B11+B10</f>
        <v>7</v>
      </c>
      <c r="C9" s="23">
        <f>+C11+C10</f>
        <v>0</v>
      </c>
      <c r="D9" s="23">
        <f t="shared" ref="D9" si="1">+D11+D10</f>
        <v>10</v>
      </c>
      <c r="E9" s="46">
        <f>+E11+E10+E12+E13+E14</f>
        <v>35</v>
      </c>
      <c r="F9" s="46">
        <f>+F11+F10+F12+F13+F14+F15+F16</f>
        <v>40</v>
      </c>
      <c r="G9" s="46">
        <f>+G11+G10+G12+G13+G14+G15+G16</f>
        <v>20</v>
      </c>
      <c r="H9" s="46">
        <f>+H11+H10+H12+H13+H14+H15+H16+H17+H18+H19</f>
        <v>90</v>
      </c>
      <c r="I9" s="46">
        <f>+I11+I10+I12+I13+I14+I15+I16+I17+I18+I19+I20+I21</f>
        <v>100</v>
      </c>
      <c r="J9" s="46"/>
      <c r="K9" s="46"/>
      <c r="L9" s="46"/>
      <c r="M9" s="46"/>
      <c r="N9" s="46"/>
      <c r="O9" s="46"/>
      <c r="P9" s="46"/>
      <c r="Q9" s="46">
        <f>+Q11+Q10+Q12+Q13+Q14+Q15+Q16+Q17+Q18+Q19+Q20+Q21</f>
        <v>0</v>
      </c>
      <c r="R9" s="22">
        <f>SUM(C9:Q9)</f>
        <v>295</v>
      </c>
    </row>
    <row r="10" spans="1:31" ht="14.25" customHeight="1">
      <c r="A10" s="24" t="s">
        <v>45</v>
      </c>
      <c r="B10" s="37">
        <v>1</v>
      </c>
      <c r="C10" s="37"/>
      <c r="D10" s="37">
        <v>5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</row>
    <row r="11" spans="1:31" ht="14.25" customHeight="1">
      <c r="A11" s="34" t="s">
        <v>46</v>
      </c>
      <c r="B11" s="37">
        <v>1</v>
      </c>
      <c r="C11" s="37"/>
      <c r="D11" s="37">
        <v>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</row>
    <row r="12" spans="1:31" ht="14.25" customHeight="1">
      <c r="A12" s="34" t="s">
        <v>47</v>
      </c>
      <c r="B12" s="37">
        <v>1</v>
      </c>
      <c r="C12" s="37"/>
      <c r="D12" s="37"/>
      <c r="E12" s="38">
        <v>10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</row>
    <row r="13" spans="1:31" ht="14.25" customHeight="1">
      <c r="A13" s="34" t="s">
        <v>48</v>
      </c>
      <c r="B13" s="37">
        <v>1</v>
      </c>
      <c r="C13" s="37"/>
      <c r="D13" s="37"/>
      <c r="E13" s="38">
        <v>20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</row>
    <row r="14" spans="1:31" ht="14.25" customHeight="1">
      <c r="A14" s="24" t="s">
        <v>49</v>
      </c>
      <c r="B14" s="37">
        <v>1</v>
      </c>
      <c r="C14" s="37"/>
      <c r="D14" s="37"/>
      <c r="E14" s="38">
        <v>5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</row>
    <row r="15" spans="1:31" ht="14.25" customHeight="1">
      <c r="A15" s="24" t="s">
        <v>50</v>
      </c>
      <c r="B15" s="37">
        <v>1</v>
      </c>
      <c r="C15" s="37"/>
      <c r="D15" s="37"/>
      <c r="E15" s="38"/>
      <c r="F15" s="38">
        <v>20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</row>
    <row r="16" spans="1:31" ht="14.25" customHeight="1">
      <c r="A16" s="34" t="s">
        <v>51</v>
      </c>
      <c r="B16" s="37">
        <v>1</v>
      </c>
      <c r="C16" s="37"/>
      <c r="D16" s="37"/>
      <c r="E16" s="38"/>
      <c r="F16" s="38">
        <v>20</v>
      </c>
      <c r="G16" s="38">
        <v>20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</row>
    <row r="17" spans="1:18" ht="14.25" customHeight="1">
      <c r="A17" s="34" t="s">
        <v>52</v>
      </c>
      <c r="B17" s="37">
        <v>0</v>
      </c>
      <c r="C17" s="37"/>
      <c r="D17" s="37"/>
      <c r="E17" s="38"/>
      <c r="F17" s="38"/>
      <c r="G17" s="38"/>
      <c r="H17" s="38">
        <v>40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1:18" ht="14.25" customHeight="1">
      <c r="A18" s="34" t="s">
        <v>53</v>
      </c>
      <c r="B18" s="37">
        <v>0</v>
      </c>
      <c r="C18" s="37"/>
      <c r="D18" s="37"/>
      <c r="E18" s="38"/>
      <c r="F18" s="38"/>
      <c r="G18" s="38"/>
      <c r="H18" s="38">
        <v>20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14.25" customHeight="1">
      <c r="A19" s="34" t="s">
        <v>54</v>
      </c>
      <c r="B19" s="37">
        <v>0</v>
      </c>
      <c r="C19" s="37"/>
      <c r="D19" s="37"/>
      <c r="E19" s="38"/>
      <c r="F19" s="38"/>
      <c r="G19" s="38"/>
      <c r="H19" s="38">
        <v>30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</row>
    <row r="20" spans="1:18" ht="14.25" customHeight="1">
      <c r="A20" s="24" t="s">
        <v>55</v>
      </c>
      <c r="B20" s="37">
        <v>0</v>
      </c>
      <c r="C20" s="37"/>
      <c r="D20" s="37"/>
      <c r="E20" s="38"/>
      <c r="F20" s="38"/>
      <c r="G20" s="38"/>
      <c r="H20" s="38"/>
      <c r="I20" s="38">
        <v>60</v>
      </c>
      <c r="J20" s="38"/>
      <c r="K20" s="38"/>
      <c r="L20" s="38"/>
      <c r="M20" s="38"/>
      <c r="N20" s="38"/>
      <c r="O20" s="38"/>
      <c r="P20" s="38"/>
      <c r="Q20" s="38"/>
      <c r="R20" s="38"/>
    </row>
    <row r="21" spans="1:18" ht="14.25" customHeight="1">
      <c r="A21" s="24" t="s">
        <v>56</v>
      </c>
      <c r="B21" s="37">
        <v>0</v>
      </c>
      <c r="C21" s="37"/>
      <c r="D21" s="37"/>
      <c r="E21" s="38"/>
      <c r="F21" s="38"/>
      <c r="G21" s="38"/>
      <c r="H21" s="38"/>
      <c r="I21" s="38">
        <v>40</v>
      </c>
      <c r="J21" s="38"/>
      <c r="K21" s="38"/>
      <c r="L21" s="38"/>
      <c r="M21" s="38"/>
      <c r="N21" s="38"/>
      <c r="O21" s="38"/>
      <c r="P21" s="38"/>
      <c r="Q21" s="38"/>
      <c r="R21" s="38"/>
    </row>
    <row r="22" spans="1:18" ht="14.25" customHeight="1">
      <c r="A22" s="21" t="s">
        <v>57</v>
      </c>
      <c r="B22" s="23">
        <f>+B23+B27+B28+B33+B34</f>
        <v>27</v>
      </c>
      <c r="C22" s="23">
        <f>+C24+C23</f>
        <v>0</v>
      </c>
      <c r="D22" s="23">
        <f t="shared" ref="D22" si="2">+D24+D23</f>
        <v>40</v>
      </c>
      <c r="E22" s="46">
        <f>+E24+E23+E25+E26+E27</f>
        <v>50</v>
      </c>
      <c r="F22" s="46">
        <f>+F24+F23+F25+F26+F27+F28+F29</f>
        <v>100</v>
      </c>
      <c r="G22" s="46">
        <f>+G24+G23+G25+G26+G27+G28+G29</f>
        <v>50</v>
      </c>
      <c r="H22" s="46">
        <f>+H24+H23+H25+H26+H27+H28+H29+H30+H31+H32</f>
        <v>60</v>
      </c>
      <c r="I22" s="46">
        <f>+I24+I23+I25+I26+I27+I28+I29+I30+I31+I32+I33+I34</f>
        <v>80</v>
      </c>
      <c r="J22" s="46"/>
      <c r="K22" s="46"/>
      <c r="L22" s="46"/>
      <c r="M22" s="46"/>
      <c r="N22" s="46"/>
      <c r="O22" s="46"/>
      <c r="P22" s="46"/>
      <c r="Q22" s="46">
        <f>+Q24+Q23+Q25+Q26+Q27+Q28+Q29+Q30+Q31+Q32+Q33+Q34</f>
        <v>0</v>
      </c>
      <c r="R22" s="22">
        <f>SUM(C22:Q22)</f>
        <v>380</v>
      </c>
    </row>
    <row r="23" spans="1:18" ht="14.25" customHeight="1" outlineLevel="1">
      <c r="A23" s="24" t="s">
        <v>45</v>
      </c>
      <c r="B23" s="25">
        <v>3</v>
      </c>
      <c r="C23" s="25"/>
      <c r="D23" s="25">
        <v>20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9">
        <f t="shared" ref="R23:R34" si="3">SUM(E23:Q23)</f>
        <v>0</v>
      </c>
    </row>
    <row r="24" spans="1:18" ht="18.75" customHeight="1" outlineLevel="2">
      <c r="A24" s="34" t="s">
        <v>46</v>
      </c>
      <c r="B24" s="27">
        <v>2</v>
      </c>
      <c r="C24" s="27"/>
      <c r="D24" s="27">
        <v>20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9">
        <f t="shared" si="3"/>
        <v>0</v>
      </c>
    </row>
    <row r="25" spans="1:18" ht="14.25" customHeight="1" outlineLevel="2">
      <c r="A25" s="34" t="s">
        <v>47</v>
      </c>
      <c r="B25" s="27">
        <v>3</v>
      </c>
      <c r="C25" s="27"/>
      <c r="D25" s="27"/>
      <c r="E25" s="27">
        <v>30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9">
        <f t="shared" si="3"/>
        <v>30</v>
      </c>
    </row>
    <row r="26" spans="1:18" ht="15" customHeight="1" outlineLevel="2">
      <c r="A26" s="34" t="s">
        <v>48</v>
      </c>
      <c r="B26" s="27">
        <v>3</v>
      </c>
      <c r="C26" s="27"/>
      <c r="D26" s="27"/>
      <c r="E26" s="27">
        <v>10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9">
        <f t="shared" si="3"/>
        <v>10</v>
      </c>
    </row>
    <row r="27" spans="1:18" ht="14.25" customHeight="1" outlineLevel="1">
      <c r="A27" s="24" t="s">
        <v>49</v>
      </c>
      <c r="B27" s="28">
        <v>3</v>
      </c>
      <c r="C27" s="25"/>
      <c r="D27" s="27"/>
      <c r="E27" s="25">
        <v>10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7"/>
      <c r="R27" s="26">
        <f t="shared" si="3"/>
        <v>10</v>
      </c>
    </row>
    <row r="28" spans="1:18" ht="15.75" customHeight="1" outlineLevel="1">
      <c r="A28" s="24" t="s">
        <v>50</v>
      </c>
      <c r="B28" s="28">
        <f>+B29+B30+B31+B32</f>
        <v>17</v>
      </c>
      <c r="C28" s="25"/>
      <c r="D28" s="25"/>
      <c r="E28" s="25"/>
      <c r="F28" s="25">
        <v>50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7"/>
      <c r="R28" s="26">
        <f t="shared" si="3"/>
        <v>50</v>
      </c>
    </row>
    <row r="29" spans="1:18" ht="14.25" customHeight="1" outlineLevel="2">
      <c r="A29" s="34" t="s">
        <v>51</v>
      </c>
      <c r="B29" s="27">
        <v>11</v>
      </c>
      <c r="C29" s="27"/>
      <c r="D29" s="27"/>
      <c r="E29" s="27"/>
      <c r="F29" s="27">
        <v>50</v>
      </c>
      <c r="G29" s="27">
        <v>50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9">
        <f t="shared" si="3"/>
        <v>100</v>
      </c>
    </row>
    <row r="30" spans="1:18" ht="18" customHeight="1" outlineLevel="2">
      <c r="A30" s="34" t="s">
        <v>52</v>
      </c>
      <c r="B30" s="27">
        <v>2</v>
      </c>
      <c r="C30" s="27"/>
      <c r="D30" s="27"/>
      <c r="E30" s="27"/>
      <c r="F30" s="27"/>
      <c r="G30" s="27"/>
      <c r="H30" s="27">
        <v>30</v>
      </c>
      <c r="I30" s="27"/>
      <c r="J30" s="27"/>
      <c r="K30" s="27"/>
      <c r="L30" s="27"/>
      <c r="M30" s="27"/>
      <c r="N30" s="27"/>
      <c r="O30" s="27"/>
      <c r="P30" s="27"/>
      <c r="Q30" s="27"/>
      <c r="R30" s="29">
        <f t="shared" si="3"/>
        <v>30</v>
      </c>
    </row>
    <row r="31" spans="1:18" ht="13.5" customHeight="1" outlineLevel="2">
      <c r="A31" s="34" t="s">
        <v>53</v>
      </c>
      <c r="B31" s="27">
        <v>2</v>
      </c>
      <c r="C31" s="27"/>
      <c r="D31" s="27"/>
      <c r="E31" s="27"/>
      <c r="F31" s="27"/>
      <c r="G31" s="27"/>
      <c r="H31" s="27">
        <v>10</v>
      </c>
      <c r="I31" s="27"/>
      <c r="J31" s="27"/>
      <c r="K31" s="27"/>
      <c r="L31" s="27"/>
      <c r="M31" s="27"/>
      <c r="N31" s="27"/>
      <c r="O31" s="27"/>
      <c r="P31" s="27"/>
      <c r="Q31" s="27"/>
      <c r="R31" s="29">
        <f t="shared" si="3"/>
        <v>10</v>
      </c>
    </row>
    <row r="32" spans="1:18" ht="14.25" customHeight="1" outlineLevel="2">
      <c r="A32" s="34" t="s">
        <v>54</v>
      </c>
      <c r="B32" s="27">
        <v>2</v>
      </c>
      <c r="C32" s="27"/>
      <c r="D32" s="27"/>
      <c r="E32" s="27"/>
      <c r="F32" s="27"/>
      <c r="G32" s="27"/>
      <c r="H32" s="27">
        <v>20</v>
      </c>
      <c r="I32" s="27"/>
      <c r="J32" s="27"/>
      <c r="K32" s="27"/>
      <c r="L32" s="27"/>
      <c r="M32" s="27"/>
      <c r="N32" s="27"/>
      <c r="O32" s="27"/>
      <c r="P32" s="27"/>
      <c r="Q32" s="27"/>
      <c r="R32" s="29">
        <f t="shared" si="3"/>
        <v>20</v>
      </c>
    </row>
    <row r="33" spans="1:31" ht="14.25" customHeight="1" outlineLevel="1">
      <c r="A33" s="24" t="s">
        <v>55</v>
      </c>
      <c r="B33" s="28">
        <v>2</v>
      </c>
      <c r="C33" s="25"/>
      <c r="D33" s="25"/>
      <c r="E33" s="25"/>
      <c r="F33" s="25"/>
      <c r="G33" s="25"/>
      <c r="H33" s="25"/>
      <c r="I33" s="25">
        <v>50</v>
      </c>
      <c r="J33" s="25"/>
      <c r="K33" s="25"/>
      <c r="L33" s="25"/>
      <c r="M33" s="25"/>
      <c r="N33" s="25"/>
      <c r="O33" s="25"/>
      <c r="P33" s="25"/>
      <c r="Q33" s="27"/>
      <c r="R33" s="26">
        <f t="shared" si="3"/>
        <v>50</v>
      </c>
    </row>
    <row r="34" spans="1:31" ht="21" customHeight="1" outlineLevel="1">
      <c r="A34" s="24" t="s">
        <v>56</v>
      </c>
      <c r="B34" s="28">
        <v>2</v>
      </c>
      <c r="C34" s="25"/>
      <c r="D34" s="25"/>
      <c r="E34" s="25"/>
      <c r="F34" s="25"/>
      <c r="G34" s="25"/>
      <c r="H34" s="25"/>
      <c r="I34" s="25">
        <v>30</v>
      </c>
      <c r="J34" s="25"/>
      <c r="K34" s="25"/>
      <c r="L34" s="25"/>
      <c r="M34" s="25"/>
      <c r="N34" s="25"/>
      <c r="O34" s="25"/>
      <c r="P34" s="25"/>
      <c r="Q34" s="27"/>
      <c r="R34" s="26">
        <f t="shared" si="3"/>
        <v>30</v>
      </c>
    </row>
    <row r="35" spans="1:31" ht="18" customHeight="1">
      <c r="A35" s="30" t="s">
        <v>58</v>
      </c>
      <c r="B35" s="44">
        <f>+B36</f>
        <v>3</v>
      </c>
      <c r="C35" s="23">
        <f>+C37+C36</f>
        <v>10</v>
      </c>
      <c r="D35" s="23">
        <f t="shared" ref="D35:G35" si="4">+D37+D36</f>
        <v>10</v>
      </c>
      <c r="E35" s="23">
        <f t="shared" si="4"/>
        <v>10</v>
      </c>
      <c r="F35" s="23">
        <f t="shared" si="4"/>
        <v>10</v>
      </c>
      <c r="G35" s="23">
        <f t="shared" si="4"/>
        <v>10</v>
      </c>
      <c r="H35" s="23">
        <f>+H36</f>
        <v>10</v>
      </c>
      <c r="I35" s="23">
        <f t="shared" ref="I35:Q35" si="5">+I36</f>
        <v>10</v>
      </c>
      <c r="J35" s="23"/>
      <c r="K35" s="23"/>
      <c r="L35" s="23"/>
      <c r="M35" s="23"/>
      <c r="N35" s="23"/>
      <c r="O35" s="23"/>
      <c r="P35" s="23"/>
      <c r="Q35" s="23">
        <f t="shared" si="5"/>
        <v>10</v>
      </c>
      <c r="R35" s="22">
        <f>SUM(C35:Q35)</f>
        <v>80</v>
      </c>
    </row>
    <row r="36" spans="1:31" ht="18" customHeight="1">
      <c r="A36" s="34" t="s">
        <v>59</v>
      </c>
      <c r="B36" s="37">
        <v>3</v>
      </c>
      <c r="C36" s="37">
        <v>10</v>
      </c>
      <c r="D36" s="37">
        <v>10</v>
      </c>
      <c r="E36" s="37">
        <v>10</v>
      </c>
      <c r="F36" s="37">
        <v>10</v>
      </c>
      <c r="G36" s="37">
        <v>10</v>
      </c>
      <c r="H36" s="37">
        <v>10</v>
      </c>
      <c r="I36" s="37">
        <v>10</v>
      </c>
      <c r="J36" s="37"/>
      <c r="K36" s="37"/>
      <c r="L36" s="37"/>
      <c r="M36" s="37"/>
      <c r="N36" s="37"/>
      <c r="O36" s="37"/>
      <c r="P36" s="37"/>
      <c r="Q36" s="37">
        <v>10</v>
      </c>
      <c r="R36" s="42"/>
    </row>
    <row r="37" spans="1:31" ht="14.25" customHeight="1">
      <c r="A37" s="30" t="s">
        <v>60</v>
      </c>
      <c r="B37" s="44">
        <f>+B38+B39</f>
        <v>3</v>
      </c>
      <c r="C37" s="23">
        <f>+C39+C38</f>
        <v>0</v>
      </c>
      <c r="D37" s="23">
        <f t="shared" ref="D37:G37" si="6">+D39+D38</f>
        <v>0</v>
      </c>
      <c r="E37" s="23">
        <f t="shared" si="6"/>
        <v>0</v>
      </c>
      <c r="F37" s="23">
        <f t="shared" si="6"/>
        <v>0</v>
      </c>
      <c r="G37" s="23">
        <f t="shared" si="6"/>
        <v>0</v>
      </c>
      <c r="H37" s="23">
        <f>+H38</f>
        <v>0</v>
      </c>
      <c r="I37" s="23">
        <f t="shared" ref="I37" si="7">+I38</f>
        <v>0</v>
      </c>
      <c r="J37" s="23"/>
      <c r="K37" s="23"/>
      <c r="L37" s="23"/>
      <c r="M37" s="23"/>
      <c r="N37" s="23"/>
      <c r="O37" s="23"/>
      <c r="P37" s="23"/>
      <c r="Q37" s="23">
        <f>+Q38+Q39</f>
        <v>20</v>
      </c>
      <c r="R37" s="22">
        <f>SUM(C37:Q37)</f>
        <v>20</v>
      </c>
    </row>
    <row r="38" spans="1:31" ht="14.25" customHeight="1">
      <c r="A38" s="34" t="s">
        <v>61</v>
      </c>
      <c r="B38" s="37">
        <v>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>
        <v>10</v>
      </c>
      <c r="R38" s="42"/>
    </row>
    <row r="39" spans="1:31" ht="14.25" customHeight="1">
      <c r="A39" s="34" t="s">
        <v>62</v>
      </c>
      <c r="B39" s="37">
        <v>2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>
        <v>10</v>
      </c>
      <c r="R39" s="42"/>
    </row>
    <row r="40" spans="1:31" ht="14.25" customHeight="1">
      <c r="A40" s="31" t="s">
        <v>63</v>
      </c>
      <c r="B40" s="32">
        <f t="shared" ref="B40:Q40" si="8">+B6+B9+B22+B35+B37</f>
        <v>45</v>
      </c>
      <c r="C40" s="45">
        <f t="shared" si="8"/>
        <v>30</v>
      </c>
      <c r="D40" s="45">
        <f t="shared" si="8"/>
        <v>60</v>
      </c>
      <c r="E40" s="45">
        <f t="shared" si="8"/>
        <v>95</v>
      </c>
      <c r="F40" s="45">
        <f t="shared" si="8"/>
        <v>150</v>
      </c>
      <c r="G40" s="45">
        <f t="shared" si="8"/>
        <v>80</v>
      </c>
      <c r="H40" s="45">
        <f t="shared" si="8"/>
        <v>160</v>
      </c>
      <c r="I40" s="45">
        <f t="shared" si="8"/>
        <v>190</v>
      </c>
      <c r="J40" s="45"/>
      <c r="K40" s="45"/>
      <c r="L40" s="45"/>
      <c r="M40" s="45"/>
      <c r="N40" s="45"/>
      <c r="O40" s="45"/>
      <c r="P40" s="45"/>
      <c r="Q40" s="45">
        <f t="shared" si="8"/>
        <v>30</v>
      </c>
      <c r="R40" s="43">
        <f>+C40+D40+E40+F40+G40+H40+I40+Q40</f>
        <v>795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4.25" customHeight="1"/>
    <row r="42" spans="1:31" ht="14.25" customHeight="1"/>
    <row r="43" spans="1:31" ht="14.25" customHeight="1"/>
    <row r="44" spans="1:31" ht="14.25" customHeight="1"/>
    <row r="45" spans="1:31" ht="14.25" customHeight="1"/>
    <row r="46" spans="1:31" ht="14.25" customHeight="1"/>
    <row r="47" spans="1:31" ht="14.25" customHeight="1"/>
    <row r="48" spans="1:3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</sheetData>
  <mergeCells count="5">
    <mergeCell ref="A1:R1"/>
    <mergeCell ref="A3:A4"/>
    <mergeCell ref="B3:B4"/>
    <mergeCell ref="C3:Q3"/>
    <mergeCell ref="R3:R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3286-5A58-4E94-855F-0C00AD7809C1}">
  <sheetPr>
    <pageSetUpPr fitToPage="1"/>
  </sheetPr>
  <dimension ref="A2:Q133"/>
  <sheetViews>
    <sheetView tabSelected="1" topLeftCell="A103" workbookViewId="0">
      <selection activeCell="G132" sqref="G132"/>
    </sheetView>
  </sheetViews>
  <sheetFormatPr defaultColWidth="9" defaultRowHeight="14.25" customHeight="1"/>
  <cols>
    <col min="6" max="6" width="10.625" bestFit="1" customWidth="1"/>
    <col min="7" max="7" width="21.75" bestFit="1" customWidth="1"/>
    <col min="8" max="8" width="31.375" customWidth="1"/>
    <col min="9" max="13" width="14.875" customWidth="1"/>
  </cols>
  <sheetData>
    <row r="2" spans="2:16" ht="18">
      <c r="B2" s="645" t="s">
        <v>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  <c r="P2" s="828"/>
    </row>
    <row r="3" spans="2:16">
      <c r="B3" s="127" t="s">
        <v>1</v>
      </c>
      <c r="C3" s="646" t="s">
        <v>2</v>
      </c>
      <c r="D3" s="829"/>
      <c r="E3" s="830"/>
      <c r="F3" s="128" t="s">
        <v>3</v>
      </c>
      <c r="G3" s="128" t="s">
        <v>4</v>
      </c>
      <c r="H3" s="128" t="s">
        <v>5</v>
      </c>
      <c r="I3" s="647" t="s">
        <v>6</v>
      </c>
      <c r="J3" s="829"/>
      <c r="K3" s="829"/>
      <c r="L3" s="829"/>
      <c r="M3" s="829"/>
      <c r="N3" s="829"/>
      <c r="O3" s="829"/>
      <c r="P3" s="831"/>
    </row>
    <row r="4" spans="2:16" ht="18">
      <c r="B4" s="129" t="s">
        <v>7</v>
      </c>
      <c r="C4" s="648" t="s">
        <v>8</v>
      </c>
      <c r="D4" s="829"/>
      <c r="E4" s="830"/>
      <c r="F4" s="130" t="s">
        <v>9</v>
      </c>
      <c r="G4" s="130" t="s">
        <v>9</v>
      </c>
      <c r="H4" s="131">
        <v>45892</v>
      </c>
      <c r="I4" s="648" t="s">
        <v>10</v>
      </c>
      <c r="J4" s="829"/>
      <c r="K4" s="829"/>
      <c r="L4" s="829"/>
      <c r="M4" s="829"/>
      <c r="N4" s="829"/>
      <c r="O4" s="829"/>
      <c r="P4" s="831"/>
    </row>
    <row r="5" spans="2:16">
      <c r="B5" s="649" t="s">
        <v>11</v>
      </c>
      <c r="C5" s="832"/>
      <c r="D5" s="832"/>
      <c r="E5" s="832"/>
      <c r="F5" s="832"/>
      <c r="G5" s="832"/>
      <c r="H5" s="832"/>
      <c r="I5" s="832"/>
      <c r="J5" s="832"/>
      <c r="K5" s="832"/>
      <c r="L5" s="832"/>
      <c r="M5" s="832"/>
      <c r="N5" s="832"/>
      <c r="O5" s="832"/>
      <c r="P5" s="833"/>
    </row>
    <row r="6" spans="2:16">
      <c r="B6" s="834"/>
      <c r="C6" s="835"/>
      <c r="D6" s="835"/>
      <c r="E6" s="835"/>
      <c r="F6" s="835"/>
      <c r="G6" s="835"/>
      <c r="H6" s="835"/>
      <c r="I6" s="835"/>
      <c r="J6" s="835"/>
      <c r="K6" s="835"/>
      <c r="L6" s="835"/>
      <c r="M6" s="835"/>
      <c r="N6" s="835"/>
      <c r="O6" s="835"/>
      <c r="P6" s="836"/>
    </row>
    <row r="7" spans="2:16" ht="18">
      <c r="B7" s="645" t="s">
        <v>12</v>
      </c>
      <c r="C7" s="827"/>
      <c r="D7" s="827"/>
      <c r="E7" s="827"/>
      <c r="F7" s="827"/>
      <c r="G7" s="827"/>
      <c r="H7" s="827"/>
      <c r="I7" s="837"/>
      <c r="J7" s="651" t="s">
        <v>13</v>
      </c>
      <c r="K7" s="652"/>
      <c r="L7" s="827"/>
      <c r="M7" s="827"/>
      <c r="N7" s="827"/>
      <c r="O7" s="827"/>
      <c r="P7" s="828"/>
    </row>
    <row r="8" spans="2:16" ht="18">
      <c r="B8" s="653" t="s">
        <v>64</v>
      </c>
      <c r="C8" s="838"/>
      <c r="D8" s="838"/>
      <c r="E8" s="838"/>
      <c r="F8" s="838"/>
      <c r="G8" s="838"/>
      <c r="H8" s="838"/>
      <c r="I8" s="839"/>
      <c r="J8" s="654" t="s">
        <v>65</v>
      </c>
      <c r="K8" s="655"/>
      <c r="L8" s="838"/>
      <c r="M8" s="838"/>
      <c r="N8" s="838"/>
      <c r="O8" s="838"/>
      <c r="P8" s="840"/>
    </row>
    <row r="9" spans="2:16" ht="18">
      <c r="B9" s="132"/>
      <c r="C9" s="132"/>
      <c r="D9" s="132"/>
      <c r="E9" s="132"/>
      <c r="F9" s="132"/>
      <c r="G9" s="132"/>
      <c r="H9" s="132"/>
      <c r="I9" s="132"/>
      <c r="J9" s="133"/>
      <c r="K9" s="133"/>
      <c r="L9" s="133"/>
      <c r="M9" s="133"/>
      <c r="N9" s="133"/>
      <c r="O9" s="133"/>
      <c r="P9" s="133"/>
    </row>
    <row r="10" spans="2:16" ht="42">
      <c r="B10" s="656" t="s">
        <v>14</v>
      </c>
      <c r="C10" s="841"/>
      <c r="D10" s="842"/>
      <c r="E10" s="134" t="s">
        <v>15</v>
      </c>
      <c r="F10" s="134" t="s">
        <v>66</v>
      </c>
      <c r="G10" s="134" t="s">
        <v>17</v>
      </c>
      <c r="H10" s="134" t="s">
        <v>18</v>
      </c>
      <c r="I10" s="356" t="s">
        <v>19</v>
      </c>
      <c r="J10" s="134" t="s">
        <v>20</v>
      </c>
      <c r="K10" s="134" t="s">
        <v>67</v>
      </c>
      <c r="L10" s="134" t="s">
        <v>21</v>
      </c>
      <c r="M10" s="134" t="s">
        <v>22</v>
      </c>
      <c r="N10" s="657" t="s">
        <v>23</v>
      </c>
      <c r="O10" s="841"/>
      <c r="P10" s="843"/>
    </row>
    <row r="11" spans="2:16" ht="15">
      <c r="B11" s="650"/>
      <c r="C11" s="814"/>
      <c r="D11" s="814"/>
      <c r="E11" s="135"/>
      <c r="F11" s="136"/>
      <c r="G11" s="212"/>
      <c r="H11" s="136"/>
      <c r="I11" s="136"/>
      <c r="J11" s="136"/>
      <c r="K11" s="136"/>
      <c r="L11" s="136"/>
      <c r="M11" s="136"/>
      <c r="N11" s="136"/>
      <c r="O11" s="136"/>
      <c r="P11" s="136"/>
    </row>
    <row r="12" spans="2:16" ht="15" customHeight="1">
      <c r="B12" s="576" t="s">
        <v>68</v>
      </c>
      <c r="C12" s="577"/>
      <c r="D12" s="578"/>
      <c r="E12" s="585">
        <v>1</v>
      </c>
      <c r="F12" s="638" t="s">
        <v>14</v>
      </c>
      <c r="G12" s="359" t="s">
        <v>69</v>
      </c>
      <c r="H12" s="644" t="s">
        <v>70</v>
      </c>
      <c r="I12" s="585" t="s">
        <v>71</v>
      </c>
      <c r="J12" s="585" t="s">
        <v>72</v>
      </c>
      <c r="K12" s="585">
        <f>8*3</f>
        <v>24</v>
      </c>
      <c r="L12" s="585" t="s">
        <v>73</v>
      </c>
      <c r="M12" s="585" t="s">
        <v>74</v>
      </c>
      <c r="N12" s="638" t="s">
        <v>71</v>
      </c>
      <c r="O12" s="598"/>
      <c r="P12" s="639"/>
    </row>
    <row r="13" spans="2:16" ht="15">
      <c r="B13" s="579"/>
      <c r="C13" s="580"/>
      <c r="D13" s="581"/>
      <c r="E13" s="586"/>
      <c r="F13" s="586"/>
      <c r="G13" s="359" t="s">
        <v>75</v>
      </c>
      <c r="H13" s="586"/>
      <c r="I13" s="586"/>
      <c r="J13" s="586"/>
      <c r="K13" s="609"/>
      <c r="L13" s="586"/>
      <c r="M13" s="586"/>
      <c r="N13" s="640"/>
      <c r="O13" s="601"/>
      <c r="P13" s="641"/>
    </row>
    <row r="14" spans="2:16" ht="15">
      <c r="B14" s="579"/>
      <c r="C14" s="580"/>
      <c r="D14" s="581"/>
      <c r="E14" s="586"/>
      <c r="F14" s="586"/>
      <c r="G14" s="361" t="s">
        <v>76</v>
      </c>
      <c r="H14" s="586"/>
      <c r="I14" s="586"/>
      <c r="J14" s="586"/>
      <c r="K14" s="609"/>
      <c r="L14" s="586"/>
      <c r="M14" s="586"/>
      <c r="N14" s="640"/>
      <c r="O14" s="601"/>
      <c r="P14" s="641"/>
    </row>
    <row r="15" spans="2:16" ht="15">
      <c r="B15" s="579"/>
      <c r="C15" s="580"/>
      <c r="D15" s="581"/>
      <c r="E15" s="586"/>
      <c r="F15" s="586"/>
      <c r="G15" s="362"/>
      <c r="H15" s="586"/>
      <c r="I15" s="586"/>
      <c r="J15" s="586"/>
      <c r="K15" s="609"/>
      <c r="L15" s="586"/>
      <c r="M15" s="586"/>
      <c r="N15" s="640"/>
      <c r="O15" s="601"/>
      <c r="P15" s="641"/>
    </row>
    <row r="16" spans="2:16" ht="15">
      <c r="B16" s="582"/>
      <c r="C16" s="583"/>
      <c r="D16" s="584"/>
      <c r="E16" s="587"/>
      <c r="F16" s="587"/>
      <c r="G16" s="363"/>
      <c r="H16" s="587"/>
      <c r="I16" s="587"/>
      <c r="J16" s="587"/>
      <c r="K16" s="610"/>
      <c r="L16" s="587"/>
      <c r="M16" s="587"/>
      <c r="N16" s="642"/>
      <c r="O16" s="604"/>
      <c r="P16" s="643"/>
    </row>
    <row r="17" spans="2:16" ht="15">
      <c r="B17" s="360"/>
      <c r="C17" s="360"/>
      <c r="D17" s="360"/>
      <c r="E17" s="360"/>
      <c r="F17" s="360"/>
      <c r="G17" s="136"/>
      <c r="H17" s="360"/>
      <c r="I17" s="360"/>
      <c r="J17" s="360"/>
      <c r="K17" s="360"/>
      <c r="L17" s="360"/>
      <c r="M17" s="360"/>
      <c r="N17" s="360"/>
      <c r="O17" s="360"/>
      <c r="P17" s="360"/>
    </row>
    <row r="18" spans="2:16" ht="15">
      <c r="B18" s="597" t="s">
        <v>77</v>
      </c>
      <c r="C18" s="598"/>
      <c r="D18" s="599"/>
      <c r="E18" s="585" t="s">
        <v>78</v>
      </c>
      <c r="F18" s="585" t="s">
        <v>79</v>
      </c>
      <c r="G18" s="364" t="s">
        <v>80</v>
      </c>
      <c r="H18" s="585" t="s">
        <v>81</v>
      </c>
      <c r="I18" s="585">
        <v>1</v>
      </c>
      <c r="J18" s="585">
        <f>E25</f>
        <v>1.2</v>
      </c>
      <c r="K18" s="585">
        <v>8</v>
      </c>
      <c r="L18" s="585" t="s">
        <v>82</v>
      </c>
      <c r="M18" s="585" t="s">
        <v>83</v>
      </c>
      <c r="N18" s="597" t="s">
        <v>84</v>
      </c>
      <c r="O18" s="598"/>
      <c r="P18" s="599"/>
    </row>
    <row r="19" spans="2:16" ht="15">
      <c r="B19" s="600"/>
      <c r="C19" s="601"/>
      <c r="D19" s="602"/>
      <c r="E19" s="586"/>
      <c r="F19" s="586"/>
      <c r="G19" s="365" t="s">
        <v>85</v>
      </c>
      <c r="H19" s="586"/>
      <c r="I19" s="586"/>
      <c r="J19" s="586"/>
      <c r="K19" s="609"/>
      <c r="L19" s="586"/>
      <c r="M19" s="586"/>
      <c r="N19" s="600"/>
      <c r="O19" s="601"/>
      <c r="P19" s="602"/>
    </row>
    <row r="20" spans="2:16" ht="15">
      <c r="B20" s="600"/>
      <c r="C20" s="601"/>
      <c r="D20" s="602"/>
      <c r="E20" s="586"/>
      <c r="F20" s="586"/>
      <c r="G20" s="361" t="s">
        <v>86</v>
      </c>
      <c r="H20" s="586"/>
      <c r="I20" s="586"/>
      <c r="J20" s="586"/>
      <c r="K20" s="609"/>
      <c r="L20" s="586"/>
      <c r="M20" s="586"/>
      <c r="N20" s="600"/>
      <c r="O20" s="601"/>
      <c r="P20" s="602"/>
    </row>
    <row r="21" spans="2:16" ht="14.25" customHeight="1">
      <c r="B21" s="600"/>
      <c r="C21" s="601"/>
      <c r="D21" s="602"/>
      <c r="E21" s="586"/>
      <c r="F21" s="586"/>
      <c r="G21" s="366"/>
      <c r="H21" s="586"/>
      <c r="I21" s="586"/>
      <c r="J21" s="586"/>
      <c r="K21" s="609"/>
      <c r="L21" s="586"/>
      <c r="M21" s="586"/>
      <c r="N21" s="600"/>
      <c r="O21" s="601"/>
      <c r="P21" s="602"/>
    </row>
    <row r="22" spans="2:16" ht="14.25" customHeight="1">
      <c r="B22" s="600"/>
      <c r="C22" s="601"/>
      <c r="D22" s="602"/>
      <c r="E22" s="586"/>
      <c r="F22" s="586"/>
      <c r="G22" s="373"/>
      <c r="H22" s="586"/>
      <c r="I22" s="586"/>
      <c r="J22" s="586"/>
      <c r="K22" s="609"/>
      <c r="L22" s="586"/>
      <c r="M22" s="586"/>
      <c r="N22" s="600"/>
      <c r="O22" s="601"/>
      <c r="P22" s="602"/>
    </row>
    <row r="23" spans="2:16" ht="14.25" customHeight="1">
      <c r="B23" s="603"/>
      <c r="C23" s="604"/>
      <c r="D23" s="605"/>
      <c r="E23" s="587"/>
      <c r="F23" s="587"/>
      <c r="G23" s="137"/>
      <c r="H23" s="587"/>
      <c r="I23" s="587"/>
      <c r="J23" s="587"/>
      <c r="K23" s="610"/>
      <c r="L23" s="587"/>
      <c r="M23" s="587"/>
      <c r="N23" s="603"/>
      <c r="O23" s="604"/>
      <c r="P23" s="605"/>
    </row>
    <row r="24" spans="2:16" ht="15">
      <c r="B24" s="360"/>
      <c r="C24" s="360"/>
      <c r="D24" s="360"/>
      <c r="E24" s="360"/>
      <c r="F24" s="360"/>
      <c r="G24" s="367"/>
      <c r="H24" s="360"/>
      <c r="I24" s="360"/>
      <c r="J24" s="360"/>
      <c r="K24" s="360"/>
      <c r="L24" s="360"/>
      <c r="M24" s="360"/>
      <c r="N24" s="360"/>
      <c r="O24" s="360"/>
      <c r="P24" s="360"/>
    </row>
    <row r="25" spans="2:16" ht="15">
      <c r="B25" s="597" t="s">
        <v>87</v>
      </c>
      <c r="C25" s="598"/>
      <c r="D25" s="599"/>
      <c r="E25" s="585">
        <v>1.2</v>
      </c>
      <c r="F25" s="638" t="s">
        <v>79</v>
      </c>
      <c r="G25" s="359" t="s">
        <v>69</v>
      </c>
      <c r="H25" s="644" t="s">
        <v>88</v>
      </c>
      <c r="I25" s="585">
        <v>1.1000000000000001</v>
      </c>
      <c r="J25" s="585" t="s">
        <v>82</v>
      </c>
      <c r="K25" s="585">
        <v>6</v>
      </c>
      <c r="L25" s="585" t="s">
        <v>82</v>
      </c>
      <c r="M25" s="585" t="s">
        <v>83</v>
      </c>
      <c r="N25" s="597" t="s">
        <v>84</v>
      </c>
      <c r="O25" s="598"/>
      <c r="P25" s="599"/>
    </row>
    <row r="26" spans="2:16" ht="15">
      <c r="B26" s="600"/>
      <c r="C26" s="601"/>
      <c r="D26" s="602"/>
      <c r="E26" s="586"/>
      <c r="F26" s="640"/>
      <c r="G26" s="368" t="s">
        <v>89</v>
      </c>
      <c r="H26" s="602"/>
      <c r="I26" s="586"/>
      <c r="J26" s="586"/>
      <c r="K26" s="609"/>
      <c r="L26" s="586"/>
      <c r="M26" s="586"/>
      <c r="N26" s="600"/>
      <c r="O26" s="601"/>
      <c r="P26" s="602"/>
    </row>
    <row r="27" spans="2:16" ht="15">
      <c r="B27" s="600"/>
      <c r="C27" s="601"/>
      <c r="D27" s="602"/>
      <c r="E27" s="586"/>
      <c r="F27" s="640"/>
      <c r="G27" s="368" t="s">
        <v>90</v>
      </c>
      <c r="H27" s="602"/>
      <c r="I27" s="586"/>
      <c r="J27" s="586"/>
      <c r="K27" s="609"/>
      <c r="L27" s="586"/>
      <c r="M27" s="586"/>
      <c r="N27" s="600"/>
      <c r="O27" s="601"/>
      <c r="P27" s="602"/>
    </row>
    <row r="28" spans="2:16" ht="15">
      <c r="B28" s="600"/>
      <c r="C28" s="601"/>
      <c r="D28" s="602"/>
      <c r="E28" s="586"/>
      <c r="F28" s="586"/>
      <c r="G28" s="369"/>
      <c r="H28" s="586"/>
      <c r="I28" s="586"/>
      <c r="J28" s="586"/>
      <c r="K28" s="609"/>
      <c r="L28" s="586"/>
      <c r="M28" s="586"/>
      <c r="N28" s="600"/>
      <c r="O28" s="601"/>
      <c r="P28" s="602"/>
    </row>
    <row r="29" spans="2:16" ht="15">
      <c r="B29" s="603"/>
      <c r="C29" s="604"/>
      <c r="D29" s="605"/>
      <c r="E29" s="587"/>
      <c r="F29" s="587"/>
      <c r="G29" s="363"/>
      <c r="H29" s="587"/>
      <c r="I29" s="587"/>
      <c r="J29" s="587"/>
      <c r="K29" s="610"/>
      <c r="L29" s="587"/>
      <c r="M29" s="587"/>
      <c r="N29" s="603"/>
      <c r="O29" s="604"/>
      <c r="P29" s="605"/>
    </row>
    <row r="30" spans="2:16" ht="15">
      <c r="B30" s="360"/>
      <c r="C30" s="360"/>
      <c r="D30" s="360"/>
      <c r="E30" s="360"/>
      <c r="F30" s="360"/>
      <c r="G30" s="136"/>
      <c r="H30" s="360"/>
      <c r="I30" s="360"/>
      <c r="J30" s="360"/>
      <c r="K30" s="360"/>
      <c r="L30" s="360"/>
      <c r="M30" s="360"/>
      <c r="N30" s="360"/>
      <c r="O30" s="360"/>
      <c r="P30" s="360"/>
    </row>
    <row r="31" spans="2:16" ht="15">
      <c r="B31" s="576" t="s">
        <v>91</v>
      </c>
      <c r="C31" s="577"/>
      <c r="D31" s="578"/>
      <c r="E31" s="585">
        <v>2</v>
      </c>
      <c r="F31" s="585" t="s">
        <v>92</v>
      </c>
      <c r="G31" s="370" t="s">
        <v>69</v>
      </c>
      <c r="H31" s="585" t="s">
        <v>93</v>
      </c>
      <c r="I31" s="585">
        <f>E12</f>
        <v>1</v>
      </c>
      <c r="J31" s="585" t="s">
        <v>94</v>
      </c>
      <c r="K31" s="585">
        <v>16</v>
      </c>
      <c r="L31" s="585" t="s">
        <v>82</v>
      </c>
      <c r="M31" s="585" t="s">
        <v>82</v>
      </c>
      <c r="N31" s="597" t="str">
        <f>B44</f>
        <v>SUPERVISIÓN EJECUTIVA</v>
      </c>
      <c r="O31" s="598"/>
      <c r="P31" s="599"/>
    </row>
    <row r="32" spans="2:16" ht="15">
      <c r="B32" s="579"/>
      <c r="C32" s="580"/>
      <c r="D32" s="581"/>
      <c r="E32" s="586"/>
      <c r="F32" s="640"/>
      <c r="G32" s="368" t="s">
        <v>89</v>
      </c>
      <c r="H32" s="602"/>
      <c r="I32" s="586"/>
      <c r="J32" s="586"/>
      <c r="K32" s="609"/>
      <c r="L32" s="586"/>
      <c r="M32" s="586"/>
      <c r="N32" s="600"/>
      <c r="O32" s="601"/>
      <c r="P32" s="602"/>
    </row>
    <row r="33" spans="2:16" ht="15">
      <c r="B33" s="579"/>
      <c r="C33" s="580"/>
      <c r="D33" s="581"/>
      <c r="E33" s="586"/>
      <c r="F33" s="586"/>
      <c r="G33" s="371" t="s">
        <v>90</v>
      </c>
      <c r="H33" s="586"/>
      <c r="I33" s="586"/>
      <c r="J33" s="586"/>
      <c r="K33" s="609"/>
      <c r="L33" s="586"/>
      <c r="M33" s="586"/>
      <c r="N33" s="600"/>
      <c r="O33" s="601"/>
      <c r="P33" s="602"/>
    </row>
    <row r="34" spans="2:16" ht="15">
      <c r="B34" s="579"/>
      <c r="C34" s="580"/>
      <c r="D34" s="581"/>
      <c r="E34" s="586"/>
      <c r="F34" s="586"/>
      <c r="G34" s="371"/>
      <c r="H34" s="586"/>
      <c r="I34" s="586"/>
      <c r="J34" s="586"/>
      <c r="K34" s="609"/>
      <c r="L34" s="586"/>
      <c r="M34" s="586"/>
      <c r="N34" s="600"/>
      <c r="O34" s="601"/>
      <c r="P34" s="602"/>
    </row>
    <row r="35" spans="2:16" ht="15">
      <c r="B35" s="579"/>
      <c r="C35" s="580"/>
      <c r="D35" s="581"/>
      <c r="E35" s="586"/>
      <c r="F35" s="586"/>
      <c r="G35" s="362"/>
      <c r="H35" s="586"/>
      <c r="I35" s="586"/>
      <c r="J35" s="586"/>
      <c r="K35" s="609"/>
      <c r="L35" s="586"/>
      <c r="M35" s="586"/>
      <c r="N35" s="600"/>
      <c r="O35" s="601"/>
      <c r="P35" s="602"/>
    </row>
    <row r="36" spans="2:16" ht="14.25" customHeight="1">
      <c r="B36" s="582"/>
      <c r="C36" s="583"/>
      <c r="D36" s="584"/>
      <c r="E36" s="587"/>
      <c r="F36" s="587"/>
      <c r="G36" s="363"/>
      <c r="H36" s="587"/>
      <c r="I36" s="587"/>
      <c r="J36" s="587"/>
      <c r="K36" s="610"/>
      <c r="L36" s="587"/>
      <c r="M36" s="587"/>
      <c r="N36" s="603"/>
      <c r="O36" s="604"/>
      <c r="P36" s="605"/>
    </row>
    <row r="37" spans="2:16" ht="15">
      <c r="B37" s="360"/>
      <c r="C37" s="360"/>
      <c r="D37" s="360"/>
      <c r="E37" s="360"/>
      <c r="F37" s="360"/>
      <c r="G37" s="136"/>
      <c r="H37" s="360"/>
      <c r="I37" s="360"/>
      <c r="J37" s="360"/>
      <c r="K37" s="360"/>
      <c r="L37" s="360"/>
      <c r="M37" s="360"/>
      <c r="N37" s="360"/>
      <c r="O37" s="360"/>
      <c r="P37" s="360"/>
    </row>
    <row r="38" spans="2:16" ht="15">
      <c r="B38" s="597" t="s">
        <v>95</v>
      </c>
      <c r="C38" s="598"/>
      <c r="D38" s="599"/>
      <c r="E38" s="585">
        <v>2.1</v>
      </c>
      <c r="F38" s="585" t="s">
        <v>92</v>
      </c>
      <c r="G38" s="364" t="s">
        <v>89</v>
      </c>
      <c r="H38" s="585" t="s">
        <v>96</v>
      </c>
      <c r="I38" s="585">
        <v>2</v>
      </c>
      <c r="J38" s="585" t="s">
        <v>82</v>
      </c>
      <c r="K38" s="585">
        <v>8</v>
      </c>
      <c r="L38" s="585" t="s">
        <v>82</v>
      </c>
      <c r="M38" s="585" t="s">
        <v>82</v>
      </c>
      <c r="N38" s="597" t="s">
        <v>84</v>
      </c>
      <c r="O38" s="598"/>
      <c r="P38" s="599"/>
    </row>
    <row r="39" spans="2:16" ht="15">
      <c r="B39" s="600"/>
      <c r="C39" s="601"/>
      <c r="D39" s="602"/>
      <c r="E39" s="586"/>
      <c r="F39" s="586"/>
      <c r="G39" s="361" t="s">
        <v>69</v>
      </c>
      <c r="H39" s="586"/>
      <c r="I39" s="586"/>
      <c r="J39" s="586"/>
      <c r="K39" s="609"/>
      <c r="L39" s="586"/>
      <c r="M39" s="586"/>
      <c r="N39" s="600"/>
      <c r="O39" s="601"/>
      <c r="P39" s="602"/>
    </row>
    <row r="40" spans="2:16" ht="15">
      <c r="B40" s="600"/>
      <c r="C40" s="601"/>
      <c r="D40" s="602"/>
      <c r="E40" s="586"/>
      <c r="F40" s="586"/>
      <c r="G40" s="362"/>
      <c r="H40" s="586"/>
      <c r="I40" s="586"/>
      <c r="J40" s="586"/>
      <c r="K40" s="609"/>
      <c r="L40" s="586"/>
      <c r="M40" s="586"/>
      <c r="N40" s="600"/>
      <c r="O40" s="601"/>
      <c r="P40" s="602"/>
    </row>
    <row r="41" spans="2:16" ht="15">
      <c r="B41" s="600"/>
      <c r="C41" s="601"/>
      <c r="D41" s="602"/>
      <c r="E41" s="586"/>
      <c r="F41" s="586"/>
      <c r="G41" s="362"/>
      <c r="H41" s="586"/>
      <c r="I41" s="586"/>
      <c r="J41" s="586"/>
      <c r="K41" s="609"/>
      <c r="L41" s="586"/>
      <c r="M41" s="586"/>
      <c r="N41" s="600"/>
      <c r="O41" s="601"/>
      <c r="P41" s="602"/>
    </row>
    <row r="42" spans="2:16" ht="15">
      <c r="B42" s="603"/>
      <c r="C42" s="604"/>
      <c r="D42" s="605"/>
      <c r="E42" s="587"/>
      <c r="F42" s="587"/>
      <c r="G42" s="363"/>
      <c r="H42" s="587"/>
      <c r="I42" s="587"/>
      <c r="J42" s="587"/>
      <c r="K42" s="610"/>
      <c r="L42" s="587"/>
      <c r="M42" s="587"/>
      <c r="N42" s="603"/>
      <c r="O42" s="604"/>
      <c r="P42" s="605"/>
    </row>
    <row r="43" spans="2:16" ht="15">
      <c r="B43" s="360"/>
      <c r="C43" s="360"/>
      <c r="D43" s="360"/>
      <c r="E43" s="360"/>
      <c r="F43" s="360"/>
      <c r="G43" s="136"/>
      <c r="H43" s="360"/>
      <c r="I43" s="360"/>
      <c r="J43" s="360"/>
      <c r="K43" s="360"/>
      <c r="L43" s="360"/>
      <c r="M43" s="360"/>
      <c r="N43" s="360"/>
      <c r="O43" s="360"/>
      <c r="P43" s="360"/>
    </row>
    <row r="44" spans="2:16" ht="15">
      <c r="B44" s="576" t="s">
        <v>97</v>
      </c>
      <c r="C44" s="577"/>
      <c r="D44" s="578"/>
      <c r="E44" s="585">
        <v>3</v>
      </c>
      <c r="F44" s="585" t="s">
        <v>14</v>
      </c>
      <c r="G44" s="364" t="s">
        <v>69</v>
      </c>
      <c r="H44" s="585" t="s">
        <v>98</v>
      </c>
      <c r="I44" s="585">
        <v>2</v>
      </c>
      <c r="J44" s="585" t="s">
        <v>99</v>
      </c>
      <c r="K44" s="585" t="s">
        <v>82</v>
      </c>
      <c r="L44" s="585" t="s">
        <v>82</v>
      </c>
      <c r="M44" s="585" t="s">
        <v>100</v>
      </c>
      <c r="N44" s="597" t="str">
        <f>B31</f>
        <v>GESTION DE RECURSOS Y PRESUPUESTOS</v>
      </c>
      <c r="O44" s="598"/>
      <c r="P44" s="599"/>
    </row>
    <row r="45" spans="2:16" ht="15">
      <c r="B45" s="579"/>
      <c r="C45" s="580"/>
      <c r="D45" s="581"/>
      <c r="E45" s="586"/>
      <c r="F45" s="586"/>
      <c r="G45" s="372" t="s">
        <v>85</v>
      </c>
      <c r="H45" s="586"/>
      <c r="I45" s="586"/>
      <c r="J45" s="586"/>
      <c r="K45" s="609"/>
      <c r="L45" s="586"/>
      <c r="M45" s="586"/>
      <c r="N45" s="600"/>
      <c r="O45" s="601"/>
      <c r="P45" s="602"/>
    </row>
    <row r="46" spans="2:16" ht="15">
      <c r="B46" s="579"/>
      <c r="C46" s="580"/>
      <c r="D46" s="581"/>
      <c r="E46" s="586"/>
      <c r="F46" s="586"/>
      <c r="G46" s="371" t="s">
        <v>101</v>
      </c>
      <c r="H46" s="586"/>
      <c r="I46" s="586"/>
      <c r="J46" s="586"/>
      <c r="K46" s="609"/>
      <c r="L46" s="586"/>
      <c r="M46" s="586"/>
      <c r="N46" s="600"/>
      <c r="O46" s="601"/>
      <c r="P46" s="602"/>
    </row>
    <row r="47" spans="2:16" ht="15">
      <c r="B47" s="579"/>
      <c r="C47" s="580"/>
      <c r="D47" s="581"/>
      <c r="E47" s="586"/>
      <c r="F47" s="586"/>
      <c r="G47" s="362"/>
      <c r="H47" s="586"/>
      <c r="I47" s="586"/>
      <c r="J47" s="586"/>
      <c r="K47" s="609"/>
      <c r="L47" s="586"/>
      <c r="M47" s="586"/>
      <c r="N47" s="600"/>
      <c r="O47" s="601"/>
      <c r="P47" s="602"/>
    </row>
    <row r="48" spans="2:16" ht="15">
      <c r="B48" s="582"/>
      <c r="C48" s="583"/>
      <c r="D48" s="584"/>
      <c r="E48" s="587"/>
      <c r="F48" s="587"/>
      <c r="G48" s="363"/>
      <c r="H48" s="587"/>
      <c r="I48" s="587"/>
      <c r="J48" s="587"/>
      <c r="K48" s="610"/>
      <c r="L48" s="587"/>
      <c r="M48" s="587"/>
      <c r="N48" s="603"/>
      <c r="O48" s="604"/>
      <c r="P48" s="605"/>
    </row>
    <row r="49" spans="2:16" ht="15">
      <c r="B49" s="360"/>
      <c r="C49" s="360"/>
      <c r="D49" s="360"/>
      <c r="E49" s="360"/>
      <c r="F49" s="360"/>
      <c r="G49" s="136"/>
      <c r="H49" s="360"/>
      <c r="I49" s="360"/>
      <c r="J49" s="360"/>
      <c r="K49" s="360"/>
      <c r="L49" s="360"/>
      <c r="M49" s="360"/>
      <c r="N49" s="360"/>
      <c r="O49" s="360"/>
      <c r="P49" s="360"/>
    </row>
    <row r="50" spans="2:16" ht="15">
      <c r="B50" s="597" t="s">
        <v>102</v>
      </c>
      <c r="C50" s="598"/>
      <c r="D50" s="599"/>
      <c r="E50" s="585">
        <v>3.1</v>
      </c>
      <c r="F50" s="585" t="s">
        <v>79</v>
      </c>
      <c r="G50" s="364" t="s">
        <v>85</v>
      </c>
      <c r="H50" s="585" t="s">
        <v>103</v>
      </c>
      <c r="I50" s="585">
        <v>3</v>
      </c>
      <c r="J50" s="585" t="s">
        <v>82</v>
      </c>
      <c r="K50" s="585">
        <v>3</v>
      </c>
      <c r="L50" s="585" t="s">
        <v>82</v>
      </c>
      <c r="M50" s="585" t="s">
        <v>82</v>
      </c>
      <c r="N50" s="597" t="s">
        <v>84</v>
      </c>
      <c r="O50" s="598"/>
      <c r="P50" s="599"/>
    </row>
    <row r="51" spans="2:16" ht="15">
      <c r="B51" s="600"/>
      <c r="C51" s="601"/>
      <c r="D51" s="602"/>
      <c r="E51" s="586"/>
      <c r="F51" s="586"/>
      <c r="G51" s="365" t="s">
        <v>104</v>
      </c>
      <c r="H51" s="586"/>
      <c r="I51" s="586"/>
      <c r="J51" s="586"/>
      <c r="K51" s="609"/>
      <c r="L51" s="586"/>
      <c r="M51" s="586"/>
      <c r="N51" s="600"/>
      <c r="O51" s="601"/>
      <c r="P51" s="602"/>
    </row>
    <row r="52" spans="2:16" ht="15">
      <c r="B52" s="600"/>
      <c r="C52" s="601"/>
      <c r="D52" s="602"/>
      <c r="E52" s="586"/>
      <c r="F52" s="586"/>
      <c r="G52" s="362"/>
      <c r="H52" s="586"/>
      <c r="I52" s="586"/>
      <c r="J52" s="586"/>
      <c r="K52" s="609"/>
      <c r="L52" s="586"/>
      <c r="M52" s="586"/>
      <c r="N52" s="600"/>
      <c r="O52" s="601"/>
      <c r="P52" s="602"/>
    </row>
    <row r="53" spans="2:16" ht="15">
      <c r="B53" s="600"/>
      <c r="C53" s="601"/>
      <c r="D53" s="602"/>
      <c r="E53" s="586"/>
      <c r="F53" s="586"/>
      <c r="G53" s="362"/>
      <c r="H53" s="586"/>
      <c r="I53" s="586"/>
      <c r="J53" s="586"/>
      <c r="K53" s="609"/>
      <c r="L53" s="586"/>
      <c r="M53" s="586"/>
      <c r="N53" s="600"/>
      <c r="O53" s="601"/>
      <c r="P53" s="602"/>
    </row>
    <row r="54" spans="2:16" ht="15">
      <c r="B54" s="603"/>
      <c r="C54" s="604"/>
      <c r="D54" s="605"/>
      <c r="E54" s="587"/>
      <c r="F54" s="587"/>
      <c r="G54" s="363"/>
      <c r="H54" s="587"/>
      <c r="I54" s="587"/>
      <c r="J54" s="587"/>
      <c r="K54" s="610"/>
      <c r="L54" s="587"/>
      <c r="M54" s="587"/>
      <c r="N54" s="603"/>
      <c r="O54" s="604"/>
      <c r="P54" s="605"/>
    </row>
    <row r="55" spans="2:16" ht="15">
      <c r="B55" s="360"/>
      <c r="C55" s="360"/>
      <c r="D55" s="360"/>
      <c r="E55" s="360"/>
      <c r="F55" s="360"/>
      <c r="G55" s="136"/>
      <c r="H55" s="360"/>
      <c r="I55" s="360"/>
      <c r="J55" s="360"/>
      <c r="K55" s="360"/>
      <c r="L55" s="360"/>
      <c r="M55" s="360"/>
      <c r="N55" s="360"/>
      <c r="O55" s="360"/>
      <c r="P55" s="360"/>
    </row>
    <row r="56" spans="2:16" ht="15">
      <c r="B56" s="576" t="s">
        <v>105</v>
      </c>
      <c r="C56" s="577"/>
      <c r="D56" s="578"/>
      <c r="E56" s="585">
        <v>4</v>
      </c>
      <c r="F56" s="585" t="s">
        <v>92</v>
      </c>
      <c r="G56" s="139" t="s">
        <v>106</v>
      </c>
      <c r="H56" s="585" t="s">
        <v>107</v>
      </c>
      <c r="I56" s="585">
        <v>3</v>
      </c>
      <c r="J56" s="585" t="s">
        <v>108</v>
      </c>
      <c r="K56" s="585">
        <v>24</v>
      </c>
      <c r="L56" s="585" t="s">
        <v>82</v>
      </c>
      <c r="M56" s="585" t="s">
        <v>82</v>
      </c>
      <c r="N56" s="638" t="str">
        <f>B44</f>
        <v>SUPERVISIÓN EJECUTIVA</v>
      </c>
      <c r="O56" s="598"/>
      <c r="P56" s="639"/>
    </row>
    <row r="57" spans="2:16" ht="16.5" customHeight="1">
      <c r="B57" s="579"/>
      <c r="C57" s="580"/>
      <c r="D57" s="581"/>
      <c r="E57" s="586"/>
      <c r="F57" s="586"/>
      <c r="G57" s="138" t="s">
        <v>109</v>
      </c>
      <c r="H57" s="586"/>
      <c r="I57" s="586"/>
      <c r="J57" s="586"/>
      <c r="K57" s="609"/>
      <c r="L57" s="586"/>
      <c r="M57" s="586"/>
      <c r="N57" s="640"/>
      <c r="O57" s="601"/>
      <c r="P57" s="641"/>
    </row>
    <row r="58" spans="2:16" ht="15">
      <c r="B58" s="579"/>
      <c r="C58" s="580"/>
      <c r="D58" s="581"/>
      <c r="E58" s="586"/>
      <c r="F58" s="586"/>
      <c r="G58" s="138"/>
      <c r="H58" s="586"/>
      <c r="I58" s="586"/>
      <c r="J58" s="586"/>
      <c r="K58" s="609"/>
      <c r="L58" s="586"/>
      <c r="M58" s="586"/>
      <c r="N58" s="640"/>
      <c r="O58" s="601"/>
      <c r="P58" s="641"/>
    </row>
    <row r="59" spans="2:16">
      <c r="B59" s="579"/>
      <c r="C59" s="580"/>
      <c r="D59" s="581"/>
      <c r="E59" s="586"/>
      <c r="F59" s="586"/>
      <c r="G59" s="366"/>
      <c r="H59" s="586"/>
      <c r="I59" s="586"/>
      <c r="J59" s="586"/>
      <c r="K59" s="609"/>
      <c r="L59" s="586"/>
      <c r="M59" s="586"/>
      <c r="N59" s="640"/>
      <c r="O59" s="601"/>
      <c r="P59" s="641"/>
    </row>
    <row r="60" spans="2:16" ht="15">
      <c r="B60" s="582"/>
      <c r="C60" s="583"/>
      <c r="D60" s="584"/>
      <c r="E60" s="587"/>
      <c r="F60" s="587"/>
      <c r="G60" s="137"/>
      <c r="H60" s="587"/>
      <c r="I60" s="587"/>
      <c r="J60" s="587"/>
      <c r="K60" s="610"/>
      <c r="L60" s="587"/>
      <c r="M60" s="587"/>
      <c r="N60" s="642"/>
      <c r="O60" s="604"/>
      <c r="P60" s="643"/>
    </row>
    <row r="61" spans="2:16" ht="15"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</row>
    <row r="62" spans="2:16" ht="15">
      <c r="B62" s="597" t="s">
        <v>110</v>
      </c>
      <c r="C62" s="598"/>
      <c r="D62" s="599"/>
      <c r="E62" s="585">
        <v>4.0999999999999996</v>
      </c>
      <c r="F62" s="585" t="s">
        <v>111</v>
      </c>
      <c r="G62" s="139" t="s">
        <v>112</v>
      </c>
      <c r="H62" s="637" t="s">
        <v>113</v>
      </c>
      <c r="I62" s="585">
        <v>4</v>
      </c>
      <c r="J62" s="585">
        <f>E68</f>
        <v>4.2</v>
      </c>
      <c r="K62" s="585">
        <v>4</v>
      </c>
      <c r="L62" s="585" t="s">
        <v>82</v>
      </c>
      <c r="M62" s="585"/>
      <c r="N62" s="597" t="s">
        <v>84</v>
      </c>
      <c r="O62" s="598"/>
      <c r="P62" s="599"/>
    </row>
    <row r="63" spans="2:16" ht="15">
      <c r="B63" s="600"/>
      <c r="C63" s="601"/>
      <c r="D63" s="602"/>
      <c r="E63" s="586"/>
      <c r="F63" s="586"/>
      <c r="G63" s="138" t="s">
        <v>114</v>
      </c>
      <c r="H63" s="586"/>
      <c r="I63" s="586"/>
      <c r="J63" s="586"/>
      <c r="K63" s="609"/>
      <c r="L63" s="586"/>
      <c r="M63" s="586"/>
      <c r="N63" s="600"/>
      <c r="O63" s="601"/>
      <c r="P63" s="602"/>
    </row>
    <row r="64" spans="2:16" ht="15">
      <c r="B64" s="600"/>
      <c r="C64" s="601"/>
      <c r="D64" s="602"/>
      <c r="E64" s="586"/>
      <c r="F64" s="586"/>
      <c r="G64" s="138"/>
      <c r="H64" s="586"/>
      <c r="I64" s="586"/>
      <c r="J64" s="586"/>
      <c r="K64" s="609"/>
      <c r="L64" s="586"/>
      <c r="M64" s="586"/>
      <c r="N64" s="600"/>
      <c r="O64" s="601"/>
      <c r="P64" s="602"/>
    </row>
    <row r="65" spans="1:17">
      <c r="B65" s="600"/>
      <c r="C65" s="601"/>
      <c r="D65" s="602"/>
      <c r="E65" s="586"/>
      <c r="F65" s="586"/>
      <c r="G65" s="366"/>
      <c r="H65" s="586"/>
      <c r="I65" s="586"/>
      <c r="J65" s="586"/>
      <c r="K65" s="609"/>
      <c r="L65" s="586"/>
      <c r="M65" s="586"/>
      <c r="N65" s="600"/>
      <c r="O65" s="601"/>
      <c r="P65" s="602"/>
    </row>
    <row r="66" spans="1:17" ht="15">
      <c r="B66" s="603"/>
      <c r="C66" s="604"/>
      <c r="D66" s="605"/>
      <c r="E66" s="587"/>
      <c r="F66" s="587"/>
      <c r="G66" s="137"/>
      <c r="H66" s="587"/>
      <c r="I66" s="587"/>
      <c r="J66" s="587"/>
      <c r="K66" s="610"/>
      <c r="L66" s="587"/>
      <c r="M66" s="587"/>
      <c r="N66" s="603"/>
      <c r="O66" s="604"/>
      <c r="P66" s="605"/>
    </row>
    <row r="67" spans="1:17" ht="15">
      <c r="B67" s="360"/>
      <c r="C67" s="360"/>
      <c r="D67" s="360"/>
      <c r="E67" s="360"/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</row>
    <row r="68" spans="1:17" ht="15">
      <c r="B68" s="597" t="s">
        <v>115</v>
      </c>
      <c r="C68" s="598"/>
      <c r="D68" s="599"/>
      <c r="E68" s="585">
        <v>4.2</v>
      </c>
      <c r="F68" s="585" t="s">
        <v>92</v>
      </c>
      <c r="G68" s="139" t="s">
        <v>116</v>
      </c>
      <c r="H68" s="585" t="s">
        <v>117</v>
      </c>
      <c r="I68" s="585">
        <v>4.0999999999999996</v>
      </c>
      <c r="J68" s="585" t="s">
        <v>82</v>
      </c>
      <c r="K68" s="585">
        <v>4</v>
      </c>
      <c r="L68" s="585" t="s">
        <v>82</v>
      </c>
      <c r="M68" s="585"/>
      <c r="N68" s="638" t="s">
        <v>84</v>
      </c>
      <c r="O68" s="598"/>
      <c r="P68" s="639"/>
    </row>
    <row r="69" spans="1:17" ht="15">
      <c r="B69" s="600"/>
      <c r="C69" s="601"/>
      <c r="D69" s="602"/>
      <c r="E69" s="586"/>
      <c r="F69" s="586"/>
      <c r="G69" s="138" t="s">
        <v>118</v>
      </c>
      <c r="H69" s="586"/>
      <c r="I69" s="586"/>
      <c r="J69" s="586"/>
      <c r="K69" s="609"/>
      <c r="L69" s="586"/>
      <c r="M69" s="586"/>
      <c r="N69" s="640"/>
      <c r="O69" s="601"/>
      <c r="P69" s="641"/>
    </row>
    <row r="70" spans="1:17" ht="15">
      <c r="B70" s="600"/>
      <c r="C70" s="601"/>
      <c r="D70" s="602"/>
      <c r="E70" s="586"/>
      <c r="F70" s="586"/>
      <c r="G70" s="138"/>
      <c r="H70" s="586"/>
      <c r="I70" s="586"/>
      <c r="J70" s="586"/>
      <c r="K70" s="609"/>
      <c r="L70" s="586"/>
      <c r="M70" s="586"/>
      <c r="N70" s="640"/>
      <c r="O70" s="601"/>
      <c r="P70" s="641"/>
    </row>
    <row r="71" spans="1:17">
      <c r="B71" s="600"/>
      <c r="C71" s="601"/>
      <c r="D71" s="602"/>
      <c r="E71" s="586"/>
      <c r="F71" s="586"/>
      <c r="G71" s="366"/>
      <c r="H71" s="586"/>
      <c r="I71" s="586"/>
      <c r="J71" s="586"/>
      <c r="K71" s="609"/>
      <c r="L71" s="586"/>
      <c r="M71" s="586"/>
      <c r="N71" s="640"/>
      <c r="O71" s="601"/>
      <c r="P71" s="641"/>
    </row>
    <row r="72" spans="1:17" ht="15">
      <c r="B72" s="603"/>
      <c r="C72" s="604"/>
      <c r="D72" s="605"/>
      <c r="E72" s="587"/>
      <c r="F72" s="587"/>
      <c r="G72" s="137"/>
      <c r="H72" s="587"/>
      <c r="I72" s="587"/>
      <c r="J72" s="587"/>
      <c r="K72" s="610"/>
      <c r="L72" s="587"/>
      <c r="M72" s="587"/>
      <c r="N72" s="642"/>
      <c r="O72" s="604"/>
      <c r="P72" s="643"/>
    </row>
    <row r="73" spans="1:17" ht="15"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</row>
    <row r="74" spans="1:17" ht="15">
      <c r="B74" s="576" t="s">
        <v>119</v>
      </c>
      <c r="C74" s="577"/>
      <c r="D74" s="578"/>
      <c r="E74" s="585">
        <v>5</v>
      </c>
      <c r="F74" s="585" t="s">
        <v>14</v>
      </c>
      <c r="G74" s="139" t="s">
        <v>85</v>
      </c>
      <c r="H74" s="585" t="s">
        <v>120</v>
      </c>
      <c r="I74" s="585">
        <v>4</v>
      </c>
      <c r="J74" s="585">
        <f>E80</f>
        <v>5.0999999999999996</v>
      </c>
      <c r="K74" s="585">
        <v>8</v>
      </c>
      <c r="L74" s="585" t="s">
        <v>82</v>
      </c>
      <c r="M74" s="585"/>
      <c r="N74" s="597" t="s">
        <v>84</v>
      </c>
      <c r="O74" s="598"/>
      <c r="P74" s="599"/>
    </row>
    <row r="75" spans="1:17" ht="15">
      <c r="B75" s="579"/>
      <c r="C75" s="580"/>
      <c r="D75" s="581"/>
      <c r="E75" s="586"/>
      <c r="F75" s="586"/>
      <c r="G75" s="138" t="s">
        <v>90</v>
      </c>
      <c r="H75" s="586"/>
      <c r="I75" s="586"/>
      <c r="J75" s="586"/>
      <c r="K75" s="609"/>
      <c r="L75" s="586"/>
      <c r="M75" s="586"/>
      <c r="N75" s="600"/>
      <c r="O75" s="601"/>
      <c r="P75" s="602"/>
    </row>
    <row r="76" spans="1:17" ht="15">
      <c r="B76" s="579"/>
      <c r="C76" s="580"/>
      <c r="D76" s="581"/>
      <c r="E76" s="586"/>
      <c r="F76" s="586"/>
      <c r="G76" s="138" t="s">
        <v>121</v>
      </c>
      <c r="H76" s="586"/>
      <c r="I76" s="586"/>
      <c r="J76" s="586"/>
      <c r="K76" s="609"/>
      <c r="L76" s="586"/>
      <c r="M76" s="586"/>
      <c r="N76" s="600"/>
      <c r="O76" s="601"/>
      <c r="P76" s="602"/>
    </row>
    <row r="77" spans="1:17" ht="14.25" customHeight="1">
      <c r="B77" s="579"/>
      <c r="C77" s="580"/>
      <c r="D77" s="581"/>
      <c r="E77" s="586"/>
      <c r="F77" s="586"/>
      <c r="G77" s="366"/>
      <c r="H77" s="586"/>
      <c r="I77" s="586"/>
      <c r="J77" s="586"/>
      <c r="K77" s="609"/>
      <c r="L77" s="586"/>
      <c r="M77" s="586"/>
      <c r="N77" s="600"/>
      <c r="O77" s="601"/>
      <c r="P77" s="602"/>
    </row>
    <row r="78" spans="1:17" ht="15">
      <c r="B78" s="582"/>
      <c r="C78" s="583"/>
      <c r="D78" s="584"/>
      <c r="E78" s="587"/>
      <c r="F78" s="587"/>
      <c r="G78" s="137"/>
      <c r="H78" s="587"/>
      <c r="I78" s="587"/>
      <c r="J78" s="587"/>
      <c r="K78" s="610"/>
      <c r="L78" s="587"/>
      <c r="M78" s="587"/>
      <c r="N78" s="603"/>
      <c r="O78" s="604"/>
      <c r="P78" s="605"/>
    </row>
    <row r="79" spans="1:17" ht="15">
      <c r="B79" s="352"/>
      <c r="C79" s="352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</row>
    <row r="80" spans="1:17" ht="15" customHeight="1">
      <c r="A80" s="50"/>
      <c r="B80" s="591" t="s">
        <v>122</v>
      </c>
      <c r="C80" s="588"/>
      <c r="D80" s="588"/>
      <c r="E80" s="594">
        <v>5.0999999999999996</v>
      </c>
      <c r="F80" s="594" t="s">
        <v>92</v>
      </c>
      <c r="G80" s="357" t="s">
        <v>85</v>
      </c>
      <c r="H80" s="588" t="s">
        <v>123</v>
      </c>
      <c r="I80" s="594" t="s">
        <v>82</v>
      </c>
      <c r="J80" s="594">
        <f>E87</f>
        <v>5.2</v>
      </c>
      <c r="K80" s="594">
        <f>8*5</f>
        <v>40</v>
      </c>
      <c r="L80" s="594" t="s">
        <v>82</v>
      </c>
      <c r="M80" s="594"/>
      <c r="N80" s="594" t="s">
        <v>84</v>
      </c>
      <c r="O80" s="594"/>
      <c r="P80" s="606"/>
      <c r="Q80" s="50"/>
    </row>
    <row r="81" spans="1:17" ht="15">
      <c r="A81" s="50"/>
      <c r="B81" s="592"/>
      <c r="C81" s="589"/>
      <c r="D81" s="589"/>
      <c r="E81" s="595"/>
      <c r="F81" s="595"/>
      <c r="G81" s="355" t="s">
        <v>86</v>
      </c>
      <c r="H81" s="589"/>
      <c r="I81" s="595"/>
      <c r="J81" s="595"/>
      <c r="K81" s="595"/>
      <c r="L81" s="595"/>
      <c r="M81" s="595"/>
      <c r="N81" s="595"/>
      <c r="O81" s="595"/>
      <c r="P81" s="607"/>
      <c r="Q81" s="50"/>
    </row>
    <row r="82" spans="1:17" ht="15">
      <c r="A82" s="50"/>
      <c r="B82" s="592"/>
      <c r="C82" s="589"/>
      <c r="D82" s="589"/>
      <c r="E82" s="595"/>
      <c r="F82" s="595"/>
      <c r="G82" s="355" t="s">
        <v>121</v>
      </c>
      <c r="H82" s="589"/>
      <c r="I82" s="595"/>
      <c r="J82" s="595"/>
      <c r="K82" s="595"/>
      <c r="L82" s="595"/>
      <c r="M82" s="595"/>
      <c r="N82" s="595"/>
      <c r="O82" s="595"/>
      <c r="P82" s="607"/>
      <c r="Q82" s="50"/>
    </row>
    <row r="83" spans="1:17" ht="15">
      <c r="A83" s="50"/>
      <c r="B83" s="592"/>
      <c r="C83" s="589"/>
      <c r="D83" s="589"/>
      <c r="E83" s="595"/>
      <c r="F83" s="595"/>
      <c r="G83" s="355" t="s">
        <v>124</v>
      </c>
      <c r="H83" s="589"/>
      <c r="I83" s="595"/>
      <c r="J83" s="595"/>
      <c r="K83" s="595"/>
      <c r="L83" s="595"/>
      <c r="M83" s="595"/>
      <c r="N83" s="595"/>
      <c r="O83" s="595"/>
      <c r="P83" s="607"/>
      <c r="Q83" s="50"/>
    </row>
    <row r="84" spans="1:17" ht="15">
      <c r="A84" s="50"/>
      <c r="B84" s="592"/>
      <c r="C84" s="589"/>
      <c r="D84" s="589"/>
      <c r="E84" s="595"/>
      <c r="F84" s="595"/>
      <c r="G84" s="355"/>
      <c r="H84" s="589"/>
      <c r="I84" s="595"/>
      <c r="J84" s="595"/>
      <c r="K84" s="595"/>
      <c r="L84" s="595"/>
      <c r="M84" s="595"/>
      <c r="N84" s="595"/>
      <c r="O84" s="595"/>
      <c r="P84" s="607"/>
      <c r="Q84" s="50"/>
    </row>
    <row r="85" spans="1:17" ht="15">
      <c r="A85" s="50"/>
      <c r="B85" s="593"/>
      <c r="C85" s="590"/>
      <c r="D85" s="590"/>
      <c r="E85" s="596"/>
      <c r="F85" s="596"/>
      <c r="G85" s="358"/>
      <c r="H85" s="590"/>
      <c r="I85" s="596"/>
      <c r="J85" s="596"/>
      <c r="K85" s="596"/>
      <c r="L85" s="596"/>
      <c r="M85" s="596"/>
      <c r="N85" s="596"/>
      <c r="O85" s="596"/>
      <c r="P85" s="608"/>
      <c r="Q85" s="50"/>
    </row>
    <row r="86" spans="1:17" ht="15">
      <c r="B86" s="353"/>
      <c r="C86" s="353"/>
      <c r="D86" s="353"/>
      <c r="E86" s="353"/>
      <c r="F86" s="353"/>
      <c r="G86" s="353"/>
      <c r="H86" s="353"/>
      <c r="I86" s="353"/>
      <c r="J86" s="354"/>
      <c r="K86" s="354"/>
      <c r="L86" s="354"/>
      <c r="M86" s="354"/>
      <c r="N86" s="353"/>
      <c r="O86" s="353"/>
      <c r="P86" s="353"/>
    </row>
    <row r="87" spans="1:17" ht="15">
      <c r="A87" s="50"/>
      <c r="B87" s="591" t="s">
        <v>125</v>
      </c>
      <c r="C87" s="588"/>
      <c r="D87" s="588"/>
      <c r="E87" s="594">
        <v>5.2</v>
      </c>
      <c r="F87" s="588" t="s">
        <v>126</v>
      </c>
      <c r="G87" s="357" t="s">
        <v>127</v>
      </c>
      <c r="H87" s="588" t="s">
        <v>128</v>
      </c>
      <c r="I87" s="594">
        <f>E80</f>
        <v>5.0999999999999996</v>
      </c>
      <c r="J87" s="594">
        <f>E117</f>
        <v>6.3</v>
      </c>
      <c r="K87" s="594">
        <f>8*3</f>
        <v>24</v>
      </c>
      <c r="L87" s="594"/>
      <c r="M87" s="658"/>
      <c r="N87" s="611" t="s">
        <v>129</v>
      </c>
      <c r="O87" s="594"/>
      <c r="P87" s="606"/>
      <c r="Q87" s="50"/>
    </row>
    <row r="88" spans="1:17" ht="15">
      <c r="A88" s="50"/>
      <c r="B88" s="592"/>
      <c r="C88" s="589"/>
      <c r="D88" s="589"/>
      <c r="E88" s="595"/>
      <c r="F88" s="589"/>
      <c r="G88" s="355" t="s">
        <v>104</v>
      </c>
      <c r="H88" s="589"/>
      <c r="I88" s="595"/>
      <c r="J88" s="595"/>
      <c r="K88" s="595"/>
      <c r="L88" s="595"/>
      <c r="M88" s="659"/>
      <c r="N88" s="612"/>
      <c r="O88" s="595"/>
      <c r="P88" s="607"/>
      <c r="Q88" s="50"/>
    </row>
    <row r="89" spans="1:17" ht="15">
      <c r="A89" s="50"/>
      <c r="B89" s="592"/>
      <c r="C89" s="589"/>
      <c r="D89" s="589"/>
      <c r="E89" s="595"/>
      <c r="F89" s="589"/>
      <c r="G89" s="355" t="s">
        <v>130</v>
      </c>
      <c r="H89" s="589"/>
      <c r="I89" s="595"/>
      <c r="J89" s="595"/>
      <c r="K89" s="595"/>
      <c r="L89" s="595"/>
      <c r="M89" s="659"/>
      <c r="N89" s="612"/>
      <c r="O89" s="595"/>
      <c r="P89" s="607"/>
      <c r="Q89" s="50"/>
    </row>
    <row r="90" spans="1:17" ht="15">
      <c r="A90" s="50"/>
      <c r="B90" s="593"/>
      <c r="C90" s="590"/>
      <c r="D90" s="590"/>
      <c r="E90" s="596"/>
      <c r="F90" s="590"/>
      <c r="G90" s="358" t="s">
        <v>85</v>
      </c>
      <c r="H90" s="590"/>
      <c r="I90" s="596"/>
      <c r="J90" s="596"/>
      <c r="K90" s="596"/>
      <c r="L90" s="596"/>
      <c r="M90" s="660"/>
      <c r="N90" s="613"/>
      <c r="O90" s="596"/>
      <c r="P90" s="608"/>
      <c r="Q90" s="50"/>
    </row>
    <row r="91" spans="1:17" ht="15">
      <c r="B91" s="353"/>
      <c r="C91" s="353"/>
      <c r="D91" s="353"/>
      <c r="E91" s="353"/>
      <c r="F91" s="353"/>
      <c r="G91" s="353"/>
      <c r="H91" s="353"/>
      <c r="I91" s="353"/>
      <c r="J91" s="354"/>
      <c r="K91" s="354"/>
      <c r="L91" s="354"/>
      <c r="M91" s="354"/>
      <c r="N91" s="353"/>
      <c r="O91" s="353"/>
      <c r="P91" s="353"/>
    </row>
    <row r="92" spans="1:17" ht="15" customHeight="1">
      <c r="A92" s="50"/>
      <c r="B92" s="669" t="s">
        <v>131</v>
      </c>
      <c r="C92" s="618"/>
      <c r="D92" s="670"/>
      <c r="E92" s="614">
        <v>5.3</v>
      </c>
      <c r="F92" s="614" t="s">
        <v>92</v>
      </c>
      <c r="G92" s="357" t="s">
        <v>85</v>
      </c>
      <c r="H92" s="585" t="s">
        <v>132</v>
      </c>
      <c r="I92" s="614">
        <f>E87</f>
        <v>5.2</v>
      </c>
      <c r="J92" s="614" t="s">
        <v>82</v>
      </c>
      <c r="K92" s="614">
        <v>16</v>
      </c>
      <c r="L92" s="614" t="s">
        <v>82</v>
      </c>
      <c r="M92" s="614" t="s">
        <v>82</v>
      </c>
      <c r="N92" s="617" t="s">
        <v>129</v>
      </c>
      <c r="O92" s="618"/>
      <c r="P92" s="619"/>
      <c r="Q92" s="50"/>
    </row>
    <row r="93" spans="1:17" ht="15">
      <c r="A93" s="50"/>
      <c r="B93" s="671"/>
      <c r="C93" s="621"/>
      <c r="D93" s="672"/>
      <c r="E93" s="615"/>
      <c r="F93" s="615"/>
      <c r="G93" s="355" t="s">
        <v>121</v>
      </c>
      <c r="H93" s="609"/>
      <c r="I93" s="615"/>
      <c r="J93" s="615"/>
      <c r="K93" s="615"/>
      <c r="L93" s="615"/>
      <c r="M93" s="615"/>
      <c r="N93" s="620"/>
      <c r="O93" s="621"/>
      <c r="P93" s="622"/>
      <c r="Q93" s="50"/>
    </row>
    <row r="94" spans="1:17" ht="15">
      <c r="A94" s="50"/>
      <c r="B94" s="671"/>
      <c r="C94" s="621"/>
      <c r="D94" s="672"/>
      <c r="E94" s="615"/>
      <c r="F94" s="615"/>
      <c r="G94" s="355" t="s">
        <v>127</v>
      </c>
      <c r="H94" s="609"/>
      <c r="I94" s="615"/>
      <c r="J94" s="615"/>
      <c r="K94" s="615"/>
      <c r="L94" s="615"/>
      <c r="M94" s="615"/>
      <c r="N94" s="620"/>
      <c r="O94" s="621"/>
      <c r="P94" s="622"/>
      <c r="Q94" s="50"/>
    </row>
    <row r="95" spans="1:17" ht="15">
      <c r="B95" s="671"/>
      <c r="C95" s="621"/>
      <c r="D95" s="672"/>
      <c r="E95" s="615"/>
      <c r="F95" s="615"/>
      <c r="G95" s="355" t="s">
        <v>133</v>
      </c>
      <c r="H95" s="609"/>
      <c r="I95" s="615"/>
      <c r="J95" s="615"/>
      <c r="K95" s="615"/>
      <c r="L95" s="615"/>
      <c r="M95" s="615"/>
      <c r="N95" s="620"/>
      <c r="O95" s="621"/>
      <c r="P95" s="622"/>
    </row>
    <row r="96" spans="1:17" ht="15" customHeight="1">
      <c r="A96" s="50"/>
      <c r="B96" s="673"/>
      <c r="C96" s="624"/>
      <c r="D96" s="674"/>
      <c r="E96" s="616"/>
      <c r="F96" s="616"/>
      <c r="G96" s="358"/>
      <c r="H96" s="610"/>
      <c r="I96" s="616"/>
      <c r="J96" s="616"/>
      <c r="K96" s="616"/>
      <c r="L96" s="616"/>
      <c r="M96" s="616"/>
      <c r="N96" s="623"/>
      <c r="O96" s="624"/>
      <c r="P96" s="625"/>
      <c r="Q96" s="50"/>
    </row>
    <row r="97" spans="1:17">
      <c r="A97" s="50"/>
      <c r="Q97" s="50"/>
    </row>
    <row r="98" spans="1:17" ht="16.5" customHeight="1">
      <c r="A98" s="50"/>
      <c r="B98" s="576" t="s">
        <v>134</v>
      </c>
      <c r="C98" s="675"/>
      <c r="D98" s="676"/>
      <c r="E98" s="585">
        <v>6</v>
      </c>
      <c r="F98" s="585" t="s">
        <v>92</v>
      </c>
      <c r="G98" s="139" t="s">
        <v>69</v>
      </c>
      <c r="H98" s="585" t="s">
        <v>135</v>
      </c>
      <c r="I98" s="585">
        <v>5</v>
      </c>
      <c r="J98" s="585">
        <f>E127</f>
        <v>7</v>
      </c>
      <c r="K98" s="585">
        <f>8*3</f>
        <v>24</v>
      </c>
      <c r="L98" s="585" t="s">
        <v>82</v>
      </c>
      <c r="M98" s="634"/>
      <c r="N98" s="597" t="s">
        <v>84</v>
      </c>
      <c r="O98" s="626"/>
      <c r="P98" s="627"/>
      <c r="Q98" s="50"/>
    </row>
    <row r="99" spans="1:17" ht="15">
      <c r="A99" s="50"/>
      <c r="B99" s="677"/>
      <c r="C99" s="678"/>
      <c r="D99" s="679"/>
      <c r="E99" s="609"/>
      <c r="F99" s="609"/>
      <c r="G99" s="138" t="s">
        <v>85</v>
      </c>
      <c r="H99" s="609"/>
      <c r="I99" s="609"/>
      <c r="J99" s="609"/>
      <c r="K99" s="609"/>
      <c r="L99" s="609"/>
      <c r="M99" s="635"/>
      <c r="N99" s="628"/>
      <c r="O99" s="629"/>
      <c r="P99" s="630"/>
      <c r="Q99" s="50"/>
    </row>
    <row r="100" spans="1:17" ht="15">
      <c r="A100" s="50"/>
      <c r="B100" s="677"/>
      <c r="C100" s="678"/>
      <c r="D100" s="679"/>
      <c r="E100" s="609"/>
      <c r="F100" s="609"/>
      <c r="G100" s="138" t="s">
        <v>75</v>
      </c>
      <c r="H100" s="609"/>
      <c r="I100" s="609"/>
      <c r="J100" s="609"/>
      <c r="K100" s="609"/>
      <c r="L100" s="609"/>
      <c r="M100" s="635"/>
      <c r="N100" s="628"/>
      <c r="O100" s="629"/>
      <c r="P100" s="630"/>
      <c r="Q100" s="50"/>
    </row>
    <row r="101" spans="1:17">
      <c r="B101" s="677"/>
      <c r="C101" s="678"/>
      <c r="D101" s="679"/>
      <c r="E101" s="609"/>
      <c r="F101" s="609"/>
      <c r="G101" s="366" t="s">
        <v>127</v>
      </c>
      <c r="H101" s="609"/>
      <c r="I101" s="609"/>
      <c r="J101" s="609"/>
      <c r="K101" s="609"/>
      <c r="L101" s="609"/>
      <c r="M101" s="635"/>
      <c r="N101" s="628"/>
      <c r="O101" s="629"/>
      <c r="P101" s="630"/>
    </row>
    <row r="102" spans="1:17" ht="15" customHeight="1">
      <c r="A102" s="50"/>
      <c r="B102" s="677"/>
      <c r="C102" s="678"/>
      <c r="D102" s="679"/>
      <c r="E102" s="609"/>
      <c r="F102" s="609"/>
      <c r="G102" s="138"/>
      <c r="H102" s="609"/>
      <c r="I102" s="609"/>
      <c r="J102" s="609"/>
      <c r="K102" s="609"/>
      <c r="L102" s="609"/>
      <c r="M102" s="635"/>
      <c r="N102" s="628"/>
      <c r="O102" s="629"/>
      <c r="P102" s="630"/>
      <c r="Q102" s="50"/>
    </row>
    <row r="103" spans="1:17" ht="15">
      <c r="A103" s="50"/>
      <c r="B103" s="680"/>
      <c r="C103" s="681"/>
      <c r="D103" s="682"/>
      <c r="E103" s="610"/>
      <c r="F103" s="610"/>
      <c r="G103" s="137"/>
      <c r="H103" s="610"/>
      <c r="I103" s="610"/>
      <c r="J103" s="610"/>
      <c r="K103" s="610"/>
      <c r="L103" s="610"/>
      <c r="M103" s="636"/>
      <c r="N103" s="631"/>
      <c r="O103" s="632"/>
      <c r="P103" s="633"/>
      <c r="Q103" s="50"/>
    </row>
    <row r="104" spans="1:17">
      <c r="A104" s="50"/>
      <c r="Q104" s="50"/>
    </row>
    <row r="105" spans="1:17" ht="14.25" customHeight="1">
      <c r="A105" s="50"/>
      <c r="B105" s="597" t="s">
        <v>136</v>
      </c>
      <c r="C105" s="598"/>
      <c r="D105" s="599"/>
      <c r="E105" s="585">
        <v>6.1</v>
      </c>
      <c r="F105" s="585" t="s">
        <v>92</v>
      </c>
      <c r="G105" s="139" t="s">
        <v>137</v>
      </c>
      <c r="H105" s="637" t="s">
        <v>138</v>
      </c>
      <c r="I105" s="585">
        <v>6</v>
      </c>
      <c r="J105" s="585">
        <f>E111</f>
        <v>6.2</v>
      </c>
      <c r="K105" s="585">
        <f>8*3</f>
        <v>24</v>
      </c>
      <c r="L105" s="585" t="s">
        <v>82</v>
      </c>
      <c r="M105" s="585"/>
      <c r="N105" s="597" t="s">
        <v>129</v>
      </c>
      <c r="O105" s="598"/>
      <c r="P105" s="599"/>
      <c r="Q105" s="50"/>
    </row>
    <row r="106" spans="1:17" ht="14.25" customHeight="1">
      <c r="A106" s="50"/>
      <c r="B106" s="600"/>
      <c r="C106" s="601"/>
      <c r="D106" s="602"/>
      <c r="E106" s="586"/>
      <c r="F106" s="586"/>
      <c r="G106" s="138" t="s">
        <v>133</v>
      </c>
      <c r="H106" s="586"/>
      <c r="I106" s="586"/>
      <c r="J106" s="586"/>
      <c r="K106" s="609"/>
      <c r="L106" s="586"/>
      <c r="M106" s="586"/>
      <c r="N106" s="600"/>
      <c r="O106" s="601"/>
      <c r="P106" s="602"/>
      <c r="Q106" s="50"/>
    </row>
    <row r="107" spans="1:17" ht="15">
      <c r="A107" s="50"/>
      <c r="B107" s="600"/>
      <c r="C107" s="601"/>
      <c r="D107" s="602"/>
      <c r="E107" s="586"/>
      <c r="F107" s="586"/>
      <c r="G107" s="138"/>
      <c r="H107" s="586"/>
      <c r="I107" s="586"/>
      <c r="J107" s="586"/>
      <c r="K107" s="609"/>
      <c r="L107" s="586"/>
      <c r="M107" s="586"/>
      <c r="N107" s="600"/>
      <c r="O107" s="601"/>
      <c r="P107" s="602"/>
      <c r="Q107" s="50"/>
    </row>
    <row r="108" spans="1:17">
      <c r="B108" s="600"/>
      <c r="C108" s="601"/>
      <c r="D108" s="602"/>
      <c r="E108" s="586"/>
      <c r="F108" s="586"/>
      <c r="G108" s="366"/>
      <c r="H108" s="586"/>
      <c r="I108" s="586"/>
      <c r="J108" s="586"/>
      <c r="K108" s="609"/>
      <c r="L108" s="586"/>
      <c r="M108" s="586"/>
      <c r="N108" s="600"/>
      <c r="O108" s="601"/>
      <c r="P108" s="602"/>
    </row>
    <row r="109" spans="1:17" ht="15">
      <c r="B109" s="603"/>
      <c r="C109" s="604"/>
      <c r="D109" s="605"/>
      <c r="E109" s="587"/>
      <c r="F109" s="587"/>
      <c r="G109" s="137"/>
      <c r="H109" s="587"/>
      <c r="I109" s="587"/>
      <c r="J109" s="587"/>
      <c r="K109" s="610"/>
      <c r="L109" s="587"/>
      <c r="M109" s="587"/>
      <c r="N109" s="603"/>
      <c r="O109" s="604"/>
      <c r="P109" s="605"/>
    </row>
    <row r="110" spans="1:17"/>
    <row r="111" spans="1:17" ht="15">
      <c r="B111" s="597" t="s">
        <v>139</v>
      </c>
      <c r="C111" s="598"/>
      <c r="D111" s="599"/>
      <c r="E111" s="585">
        <v>6.2</v>
      </c>
      <c r="F111" s="585" t="s">
        <v>92</v>
      </c>
      <c r="G111" s="139" t="s">
        <v>85</v>
      </c>
      <c r="H111" s="585" t="s">
        <v>140</v>
      </c>
      <c r="I111" s="585">
        <v>6.1</v>
      </c>
      <c r="J111" s="585">
        <f>E121</f>
        <v>6.4</v>
      </c>
      <c r="K111" s="585">
        <v>16</v>
      </c>
      <c r="L111" s="585" t="s">
        <v>82</v>
      </c>
      <c r="M111" s="585"/>
      <c r="N111" s="597" t="s">
        <v>84</v>
      </c>
      <c r="O111" s="598"/>
      <c r="P111" s="599"/>
    </row>
    <row r="112" spans="1:17" ht="15">
      <c r="B112" s="600"/>
      <c r="C112" s="601"/>
      <c r="D112" s="602"/>
      <c r="E112" s="586"/>
      <c r="F112" s="586"/>
      <c r="G112" s="138" t="s">
        <v>86</v>
      </c>
      <c r="H112" s="586"/>
      <c r="I112" s="586"/>
      <c r="J112" s="586"/>
      <c r="K112" s="609"/>
      <c r="L112" s="586"/>
      <c r="M112" s="586"/>
      <c r="N112" s="600"/>
      <c r="O112" s="601"/>
      <c r="P112" s="602"/>
    </row>
    <row r="113" spans="1:17" ht="15">
      <c r="B113" s="600"/>
      <c r="C113" s="601"/>
      <c r="D113" s="602"/>
      <c r="E113" s="586"/>
      <c r="F113" s="586"/>
      <c r="G113" s="138" t="s">
        <v>141</v>
      </c>
      <c r="H113" s="586"/>
      <c r="I113" s="586"/>
      <c r="J113" s="586"/>
      <c r="K113" s="609"/>
      <c r="L113" s="586"/>
      <c r="M113" s="586"/>
      <c r="N113" s="600"/>
      <c r="O113" s="601"/>
      <c r="P113" s="602"/>
    </row>
    <row r="114" spans="1:17">
      <c r="B114" s="600"/>
      <c r="C114" s="601"/>
      <c r="D114" s="602"/>
      <c r="E114" s="586"/>
      <c r="F114" s="586"/>
      <c r="G114" s="366"/>
      <c r="H114" s="586"/>
      <c r="I114" s="586"/>
      <c r="J114" s="586"/>
      <c r="K114" s="609"/>
      <c r="L114" s="586"/>
      <c r="M114" s="586"/>
      <c r="N114" s="600"/>
      <c r="O114" s="601"/>
      <c r="P114" s="602"/>
    </row>
    <row r="115" spans="1:17" ht="15">
      <c r="B115" s="603"/>
      <c r="C115" s="604"/>
      <c r="D115" s="605"/>
      <c r="E115" s="587"/>
      <c r="F115" s="587"/>
      <c r="G115" s="137"/>
      <c r="H115" s="587"/>
      <c r="I115" s="587"/>
      <c r="J115" s="587"/>
      <c r="K115" s="610"/>
      <c r="L115" s="587"/>
      <c r="M115" s="587"/>
      <c r="N115" s="603"/>
      <c r="O115" s="604"/>
      <c r="P115" s="605"/>
    </row>
    <row r="116" spans="1:17"/>
    <row r="117" spans="1:17" ht="15">
      <c r="B117" s="611" t="s">
        <v>142</v>
      </c>
      <c r="C117" s="594"/>
      <c r="D117" s="594"/>
      <c r="E117" s="594">
        <v>6.3</v>
      </c>
      <c r="F117" s="594" t="s">
        <v>14</v>
      </c>
      <c r="G117" s="357" t="s">
        <v>143</v>
      </c>
      <c r="H117" s="588" t="s">
        <v>144</v>
      </c>
      <c r="I117" s="594">
        <f>E87</f>
        <v>5.2</v>
      </c>
      <c r="J117" s="594" t="s">
        <v>82</v>
      </c>
      <c r="K117" s="594">
        <f>8*2</f>
        <v>16</v>
      </c>
      <c r="L117" s="594" t="s">
        <v>82</v>
      </c>
      <c r="M117" s="594" t="s">
        <v>82</v>
      </c>
      <c r="N117" s="594" t="s">
        <v>129</v>
      </c>
      <c r="O117" s="594"/>
      <c r="P117" s="606"/>
    </row>
    <row r="118" spans="1:17" ht="15">
      <c r="B118" s="612"/>
      <c r="C118" s="595"/>
      <c r="D118" s="595"/>
      <c r="E118" s="595"/>
      <c r="F118" s="595"/>
      <c r="G118" s="355" t="s">
        <v>85</v>
      </c>
      <c r="H118" s="589"/>
      <c r="I118" s="595"/>
      <c r="J118" s="595"/>
      <c r="K118" s="595"/>
      <c r="L118" s="595"/>
      <c r="M118" s="595"/>
      <c r="N118" s="595"/>
      <c r="O118" s="595"/>
      <c r="P118" s="607"/>
    </row>
    <row r="119" spans="1:17" ht="15">
      <c r="B119" s="613"/>
      <c r="C119" s="596"/>
      <c r="D119" s="596"/>
      <c r="E119" s="596"/>
      <c r="F119" s="596"/>
      <c r="G119" s="358" t="s">
        <v>133</v>
      </c>
      <c r="H119" s="590"/>
      <c r="I119" s="596"/>
      <c r="J119" s="596"/>
      <c r="K119" s="596"/>
      <c r="L119" s="596"/>
      <c r="M119" s="596"/>
      <c r="N119" s="596"/>
      <c r="O119" s="596"/>
      <c r="P119" s="608"/>
    </row>
    <row r="120" spans="1:17" ht="14.25" customHeight="1"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</row>
    <row r="121" spans="1:17" ht="15">
      <c r="B121" s="597" t="s">
        <v>145</v>
      </c>
      <c r="C121" s="598"/>
      <c r="D121" s="599"/>
      <c r="E121" s="585">
        <v>6.4</v>
      </c>
      <c r="F121" s="585" t="s">
        <v>14</v>
      </c>
      <c r="G121" s="139" t="s">
        <v>141</v>
      </c>
      <c r="H121" s="585" t="s">
        <v>146</v>
      </c>
      <c r="I121" s="585">
        <v>6.2</v>
      </c>
      <c r="J121" s="585" t="s">
        <v>82</v>
      </c>
      <c r="K121" s="585">
        <v>8</v>
      </c>
      <c r="L121" s="585" t="s">
        <v>82</v>
      </c>
      <c r="M121" s="585"/>
      <c r="N121" s="597" t="s">
        <v>84</v>
      </c>
      <c r="O121" s="598"/>
      <c r="P121" s="599"/>
    </row>
    <row r="122" spans="1:17" ht="15">
      <c r="B122" s="600"/>
      <c r="C122" s="601"/>
      <c r="D122" s="602"/>
      <c r="E122" s="586"/>
      <c r="F122" s="586"/>
      <c r="G122" s="138" t="s">
        <v>147</v>
      </c>
      <c r="H122" s="586"/>
      <c r="I122" s="586"/>
      <c r="J122" s="586"/>
      <c r="K122" s="609"/>
      <c r="L122" s="586"/>
      <c r="M122" s="586"/>
      <c r="N122" s="600"/>
      <c r="O122" s="601"/>
      <c r="P122" s="602"/>
    </row>
    <row r="123" spans="1:17" ht="15">
      <c r="B123" s="600"/>
      <c r="C123" s="601"/>
      <c r="D123" s="602"/>
      <c r="E123" s="586"/>
      <c r="F123" s="586"/>
      <c r="G123" s="138"/>
      <c r="H123" s="586"/>
      <c r="I123" s="586"/>
      <c r="J123" s="586"/>
      <c r="K123" s="609"/>
      <c r="L123" s="586"/>
      <c r="M123" s="586"/>
      <c r="N123" s="600"/>
      <c r="O123" s="601"/>
      <c r="P123" s="602"/>
    </row>
    <row r="124" spans="1:17">
      <c r="B124" s="600"/>
      <c r="C124" s="601"/>
      <c r="D124" s="602"/>
      <c r="E124" s="586"/>
      <c r="F124" s="586"/>
      <c r="G124" s="366"/>
      <c r="H124" s="586"/>
      <c r="I124" s="586"/>
      <c r="J124" s="586"/>
      <c r="K124" s="609"/>
      <c r="L124" s="586"/>
      <c r="M124" s="586"/>
      <c r="N124" s="600"/>
      <c r="O124" s="601"/>
      <c r="P124" s="602"/>
    </row>
    <row r="125" spans="1:17" ht="15">
      <c r="B125" s="603"/>
      <c r="C125" s="604"/>
      <c r="D125" s="605"/>
      <c r="E125" s="587"/>
      <c r="F125" s="587"/>
      <c r="G125" s="137"/>
      <c r="H125" s="587"/>
      <c r="I125" s="587"/>
      <c r="J125" s="587"/>
      <c r="K125" s="610"/>
      <c r="L125" s="587"/>
      <c r="M125" s="587"/>
      <c r="N125" s="603"/>
      <c r="O125" s="604"/>
      <c r="P125" s="605"/>
    </row>
    <row r="126" spans="1:17"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</row>
    <row r="127" spans="1:17" ht="14.25" customHeight="1">
      <c r="A127" s="50"/>
      <c r="B127" s="663" t="s">
        <v>148</v>
      </c>
      <c r="C127" s="664"/>
      <c r="D127" s="664"/>
      <c r="E127" s="594">
        <v>7</v>
      </c>
      <c r="F127" s="594" t="s">
        <v>92</v>
      </c>
      <c r="G127" s="139" t="s">
        <v>69</v>
      </c>
      <c r="H127" s="588" t="s">
        <v>149</v>
      </c>
      <c r="I127" s="594">
        <v>6</v>
      </c>
      <c r="J127" s="594" t="s">
        <v>82</v>
      </c>
      <c r="K127" s="594">
        <f>8*2.5</f>
        <v>20</v>
      </c>
      <c r="L127" s="594" t="s">
        <v>82</v>
      </c>
      <c r="M127" s="594" t="s">
        <v>82</v>
      </c>
      <c r="N127" s="594" t="s">
        <v>129</v>
      </c>
      <c r="O127" s="594"/>
      <c r="P127" s="606"/>
      <c r="Q127" s="50"/>
    </row>
    <row r="128" spans="1:17" ht="14.25" customHeight="1">
      <c r="A128" s="50"/>
      <c r="B128" s="665"/>
      <c r="C128" s="666"/>
      <c r="D128" s="666"/>
      <c r="E128" s="595"/>
      <c r="F128" s="595"/>
      <c r="G128" s="138" t="s">
        <v>75</v>
      </c>
      <c r="H128" s="661"/>
      <c r="I128" s="595"/>
      <c r="J128" s="595"/>
      <c r="K128" s="595"/>
      <c r="L128" s="595"/>
      <c r="M128" s="595"/>
      <c r="N128" s="595"/>
      <c r="O128" s="595"/>
      <c r="P128" s="607"/>
      <c r="Q128" s="50"/>
    </row>
    <row r="129" spans="1:17" ht="14.25" customHeight="1">
      <c r="A129" s="50"/>
      <c r="B129" s="665"/>
      <c r="C129" s="666"/>
      <c r="D129" s="666"/>
      <c r="E129" s="595"/>
      <c r="F129" s="595"/>
      <c r="G129" s="138" t="s">
        <v>85</v>
      </c>
      <c r="H129" s="661"/>
      <c r="I129" s="595"/>
      <c r="J129" s="595"/>
      <c r="K129" s="595"/>
      <c r="L129" s="595"/>
      <c r="M129" s="595"/>
      <c r="N129" s="595"/>
      <c r="O129" s="595"/>
      <c r="P129" s="607"/>
      <c r="Q129" s="50"/>
    </row>
    <row r="130" spans="1:17" ht="14.25" customHeight="1">
      <c r="A130" s="50"/>
      <c r="B130" s="665"/>
      <c r="C130" s="666"/>
      <c r="D130" s="666"/>
      <c r="E130" s="595"/>
      <c r="F130" s="595"/>
      <c r="G130" s="373" t="s">
        <v>133</v>
      </c>
      <c r="H130" s="661"/>
      <c r="I130" s="595"/>
      <c r="J130" s="595"/>
      <c r="K130" s="595"/>
      <c r="L130" s="595"/>
      <c r="M130" s="595"/>
      <c r="N130" s="595"/>
      <c r="O130" s="595"/>
      <c r="P130" s="607"/>
      <c r="Q130" s="50"/>
    </row>
    <row r="131" spans="1:17" ht="14.25" customHeight="1">
      <c r="A131" s="50"/>
      <c r="B131" s="667"/>
      <c r="C131" s="668"/>
      <c r="D131" s="668"/>
      <c r="E131" s="596"/>
      <c r="F131" s="660"/>
      <c r="G131" s="374"/>
      <c r="H131" s="662"/>
      <c r="I131" s="596"/>
      <c r="J131" s="596"/>
      <c r="K131" s="596"/>
      <c r="L131" s="596"/>
      <c r="M131" s="596"/>
      <c r="N131" s="596"/>
      <c r="O131" s="596"/>
      <c r="P131" s="608"/>
      <c r="Q131" s="50"/>
    </row>
    <row r="132" spans="1:17"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</row>
    <row r="133" spans="1:17"/>
  </sheetData>
  <mergeCells count="213">
    <mergeCell ref="B111:D115"/>
    <mergeCell ref="E111:E115"/>
    <mergeCell ref="B92:D96"/>
    <mergeCell ref="E92:E96"/>
    <mergeCell ref="F92:F96"/>
    <mergeCell ref="H92:H96"/>
    <mergeCell ref="I92:I96"/>
    <mergeCell ref="B98:D103"/>
    <mergeCell ref="E98:E103"/>
    <mergeCell ref="F98:F103"/>
    <mergeCell ref="H98:H103"/>
    <mergeCell ref="I98:I103"/>
    <mergeCell ref="F111:F115"/>
    <mergeCell ref="H111:H115"/>
    <mergeCell ref="I111:I115"/>
    <mergeCell ref="H127:H131"/>
    <mergeCell ref="B127:D131"/>
    <mergeCell ref="E127:E131"/>
    <mergeCell ref="F127:F131"/>
    <mergeCell ref="I127:I131"/>
    <mergeCell ref="J127:J131"/>
    <mergeCell ref="K127:K131"/>
    <mergeCell ref="N127:P131"/>
    <mergeCell ref="K121:K125"/>
    <mergeCell ref="L127:L131"/>
    <mergeCell ref="M127:M131"/>
    <mergeCell ref="E121:E125"/>
    <mergeCell ref="F121:F125"/>
    <mergeCell ref="H121:H125"/>
    <mergeCell ref="I121:I125"/>
    <mergeCell ref="J121:J125"/>
    <mergeCell ref="L121:L125"/>
    <mergeCell ref="E87:E90"/>
    <mergeCell ref="J87:J90"/>
    <mergeCell ref="K87:K90"/>
    <mergeCell ref="L87:L90"/>
    <mergeCell ref="M87:M90"/>
    <mergeCell ref="B121:D125"/>
    <mergeCell ref="B87:D90"/>
    <mergeCell ref="F87:F90"/>
    <mergeCell ref="B105:D109"/>
    <mergeCell ref="E105:E109"/>
    <mergeCell ref="F105:F109"/>
    <mergeCell ref="H105:H109"/>
    <mergeCell ref="I105:I109"/>
    <mergeCell ref="J105:J109"/>
    <mergeCell ref="L105:L109"/>
    <mergeCell ref="M105:M109"/>
    <mergeCell ref="K105:K109"/>
    <mergeCell ref="K111:K115"/>
    <mergeCell ref="H117:H119"/>
    <mergeCell ref="B117:D119"/>
    <mergeCell ref="E117:E119"/>
    <mergeCell ref="F117:F119"/>
    <mergeCell ref="J98:J103"/>
    <mergeCell ref="K98:K103"/>
    <mergeCell ref="B2:P2"/>
    <mergeCell ref="C3:E3"/>
    <mergeCell ref="I3:P3"/>
    <mergeCell ref="C4:E4"/>
    <mergeCell ref="I4:P4"/>
    <mergeCell ref="B5:P6"/>
    <mergeCell ref="B11:D11"/>
    <mergeCell ref="B12:D16"/>
    <mergeCell ref="E12:E16"/>
    <mergeCell ref="F12:F16"/>
    <mergeCell ref="H12:H16"/>
    <mergeCell ref="I12:I16"/>
    <mergeCell ref="B7:I7"/>
    <mergeCell ref="J7:P7"/>
    <mergeCell ref="B8:I8"/>
    <mergeCell ref="J8:P8"/>
    <mergeCell ref="B10:D10"/>
    <mergeCell ref="N10:P10"/>
    <mergeCell ref="J12:J16"/>
    <mergeCell ref="L12:L16"/>
    <mergeCell ref="M12:M16"/>
    <mergeCell ref="N12:P16"/>
    <mergeCell ref="K12:K16"/>
    <mergeCell ref="B18:D23"/>
    <mergeCell ref="E18:E23"/>
    <mergeCell ref="F18:F23"/>
    <mergeCell ref="H18:H23"/>
    <mergeCell ref="I18:I23"/>
    <mergeCell ref="J18:J23"/>
    <mergeCell ref="L18:L23"/>
    <mergeCell ref="M18:M23"/>
    <mergeCell ref="N18:P23"/>
    <mergeCell ref="K18:K23"/>
    <mergeCell ref="B25:D29"/>
    <mergeCell ref="E25:E29"/>
    <mergeCell ref="F25:F29"/>
    <mergeCell ref="H25:H29"/>
    <mergeCell ref="I25:I29"/>
    <mergeCell ref="J25:J29"/>
    <mergeCell ref="L25:L29"/>
    <mergeCell ref="M25:M29"/>
    <mergeCell ref="N25:P29"/>
    <mergeCell ref="K25:K29"/>
    <mergeCell ref="B31:D36"/>
    <mergeCell ref="E31:E36"/>
    <mergeCell ref="F31:F36"/>
    <mergeCell ref="H31:H36"/>
    <mergeCell ref="I31:I36"/>
    <mergeCell ref="J31:J36"/>
    <mergeCell ref="L31:L36"/>
    <mergeCell ref="M31:M36"/>
    <mergeCell ref="N31:P36"/>
    <mergeCell ref="K31:K36"/>
    <mergeCell ref="B38:D42"/>
    <mergeCell ref="E38:E42"/>
    <mergeCell ref="F38:F42"/>
    <mergeCell ref="H38:H42"/>
    <mergeCell ref="I38:I42"/>
    <mergeCell ref="J38:J42"/>
    <mergeCell ref="L38:L42"/>
    <mergeCell ref="M38:M42"/>
    <mergeCell ref="N38:P42"/>
    <mergeCell ref="K38:K42"/>
    <mergeCell ref="B44:D48"/>
    <mergeCell ref="E44:E48"/>
    <mergeCell ref="F44:F48"/>
    <mergeCell ref="H44:H48"/>
    <mergeCell ref="I44:I48"/>
    <mergeCell ref="J44:J48"/>
    <mergeCell ref="L44:L48"/>
    <mergeCell ref="M44:M48"/>
    <mergeCell ref="N44:P48"/>
    <mergeCell ref="K44:K48"/>
    <mergeCell ref="B50:D54"/>
    <mergeCell ref="E50:E54"/>
    <mergeCell ref="F50:F54"/>
    <mergeCell ref="H50:H54"/>
    <mergeCell ref="I50:I54"/>
    <mergeCell ref="J50:J54"/>
    <mergeCell ref="L50:L54"/>
    <mergeCell ref="M50:M54"/>
    <mergeCell ref="N50:P54"/>
    <mergeCell ref="K50:K54"/>
    <mergeCell ref="B56:D60"/>
    <mergeCell ref="E56:E60"/>
    <mergeCell ref="F56:F60"/>
    <mergeCell ref="H56:H60"/>
    <mergeCell ref="I56:I60"/>
    <mergeCell ref="J56:J60"/>
    <mergeCell ref="L56:L60"/>
    <mergeCell ref="M56:M60"/>
    <mergeCell ref="N56:P60"/>
    <mergeCell ref="K56:K60"/>
    <mergeCell ref="L62:L66"/>
    <mergeCell ref="M62:M66"/>
    <mergeCell ref="N62:P66"/>
    <mergeCell ref="B68:D72"/>
    <mergeCell ref="E68:E72"/>
    <mergeCell ref="F68:F72"/>
    <mergeCell ref="H68:H72"/>
    <mergeCell ref="I68:I72"/>
    <mergeCell ref="J68:J72"/>
    <mergeCell ref="L68:L72"/>
    <mergeCell ref="B62:D66"/>
    <mergeCell ref="E62:E66"/>
    <mergeCell ref="F62:F66"/>
    <mergeCell ref="H62:H66"/>
    <mergeCell ref="I62:I66"/>
    <mergeCell ref="J62:J66"/>
    <mergeCell ref="M68:M72"/>
    <mergeCell ref="N68:P72"/>
    <mergeCell ref="K68:K72"/>
    <mergeCell ref="K62:K66"/>
    <mergeCell ref="J111:J115"/>
    <mergeCell ref="I117:I119"/>
    <mergeCell ref="J117:J119"/>
    <mergeCell ref="K117:K119"/>
    <mergeCell ref="L117:L119"/>
    <mergeCell ref="J74:J78"/>
    <mergeCell ref="L74:L78"/>
    <mergeCell ref="H87:H90"/>
    <mergeCell ref="I87:I90"/>
    <mergeCell ref="L98:L103"/>
    <mergeCell ref="M74:M78"/>
    <mergeCell ref="N74:P78"/>
    <mergeCell ref="M121:M125"/>
    <mergeCell ref="N121:P125"/>
    <mergeCell ref="L111:L115"/>
    <mergeCell ref="M111:M115"/>
    <mergeCell ref="N111:P115"/>
    <mergeCell ref="J80:J85"/>
    <mergeCell ref="K80:K85"/>
    <mergeCell ref="L80:L85"/>
    <mergeCell ref="M80:M85"/>
    <mergeCell ref="N80:P85"/>
    <mergeCell ref="K74:K78"/>
    <mergeCell ref="N87:P90"/>
    <mergeCell ref="J92:J96"/>
    <mergeCell ref="K92:K96"/>
    <mergeCell ref="N105:P109"/>
    <mergeCell ref="M117:M119"/>
    <mergeCell ref="N117:P119"/>
    <mergeCell ref="L92:L96"/>
    <mergeCell ref="M92:M96"/>
    <mergeCell ref="N92:P96"/>
    <mergeCell ref="N98:P103"/>
    <mergeCell ref="M98:M103"/>
    <mergeCell ref="B74:D78"/>
    <mergeCell ref="E74:E78"/>
    <mergeCell ref="F74:F78"/>
    <mergeCell ref="H74:H78"/>
    <mergeCell ref="I74:I78"/>
    <mergeCell ref="H80:H85"/>
    <mergeCell ref="B80:D85"/>
    <mergeCell ref="E80:E85"/>
    <mergeCell ref="F80:F85"/>
    <mergeCell ref="I80:I85"/>
  </mergeCells>
  <pageMargins left="0.7" right="0.7" top="0.75" bottom="0.75" header="0.3" footer="0.3"/>
  <pageSetup paperSize="3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8BB1-F84D-41F7-B51D-57A7C154920E}">
  <dimension ref="A1:NU978"/>
  <sheetViews>
    <sheetView showGridLines="0" zoomScale="72" zoomScaleNormal="60" workbookViewId="0">
      <pane ySplit="5" topLeftCell="A10" activePane="bottomLeft" state="frozen"/>
      <selection pane="bottomLeft" activeCell="G15" sqref="G15"/>
    </sheetView>
  </sheetViews>
  <sheetFormatPr defaultColWidth="12.625" defaultRowHeight="15" customHeight="1" outlineLevelRow="2"/>
  <cols>
    <col min="1" max="1" width="35" customWidth="1"/>
    <col min="2" max="3" width="20.625" customWidth="1"/>
    <col min="4" max="4" width="11.75" style="59" customWidth="1"/>
    <col min="5" max="157" width="3.375" customWidth="1"/>
  </cols>
  <sheetData>
    <row r="1" spans="1:385" ht="29.1" customHeight="1">
      <c r="A1" s="688" t="s">
        <v>35</v>
      </c>
      <c r="B1" s="688"/>
      <c r="C1" s="688"/>
      <c r="D1" s="688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  <c r="GH1" s="65"/>
      <c r="GI1" s="65"/>
      <c r="GJ1" s="65"/>
      <c r="GK1" s="65"/>
      <c r="GL1" s="65"/>
      <c r="GM1" s="65"/>
      <c r="GN1" s="65"/>
      <c r="GO1" s="65"/>
      <c r="GP1" s="65"/>
      <c r="GQ1" s="65"/>
      <c r="GR1" s="65"/>
      <c r="GS1" s="65"/>
      <c r="GT1" s="65"/>
      <c r="GU1" s="65"/>
      <c r="GV1" s="65"/>
      <c r="GW1" s="65"/>
      <c r="GX1" s="65"/>
      <c r="GY1" s="65"/>
      <c r="GZ1" s="65"/>
      <c r="HA1" s="65"/>
      <c r="HB1" s="65"/>
      <c r="HC1" s="65"/>
      <c r="HD1" s="65"/>
      <c r="HE1" s="65"/>
      <c r="HF1" s="65"/>
      <c r="HG1" s="65"/>
      <c r="HH1" s="65"/>
      <c r="HI1" s="65"/>
      <c r="HJ1" s="65"/>
      <c r="HK1" s="65"/>
      <c r="HL1" s="65"/>
      <c r="HM1" s="65"/>
      <c r="HN1" s="65"/>
      <c r="HO1" s="65"/>
      <c r="HP1" s="65"/>
      <c r="HQ1" s="65"/>
      <c r="HR1" s="65"/>
      <c r="HS1" s="65"/>
      <c r="HT1" s="65"/>
      <c r="HU1" s="65"/>
      <c r="HV1" s="65"/>
      <c r="HW1" s="65"/>
      <c r="HX1" s="65"/>
      <c r="HY1" s="65"/>
      <c r="HZ1" s="65"/>
      <c r="IA1" s="65"/>
      <c r="IB1" s="65"/>
      <c r="IC1" s="65"/>
      <c r="ID1" s="65"/>
      <c r="IE1" s="65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  <c r="IW1" s="65"/>
      <c r="IX1" s="65"/>
      <c r="IY1" s="65"/>
      <c r="IZ1" s="65"/>
      <c r="JA1" s="65"/>
      <c r="JB1" s="65"/>
      <c r="JC1" s="65"/>
      <c r="JD1" s="65"/>
      <c r="JE1" s="65"/>
      <c r="JF1" s="65"/>
      <c r="JG1" s="65"/>
      <c r="JH1" s="65"/>
      <c r="JI1" s="65"/>
      <c r="JJ1" s="65"/>
      <c r="JK1" s="65"/>
      <c r="JL1" s="65"/>
      <c r="JM1" s="65"/>
      <c r="JN1" s="65"/>
      <c r="JO1" s="65"/>
      <c r="JP1" s="65"/>
      <c r="JQ1" s="65"/>
      <c r="JR1" s="65"/>
      <c r="JS1" s="65"/>
      <c r="JT1" s="65"/>
      <c r="JU1" s="65"/>
      <c r="JV1" s="65"/>
      <c r="JW1" s="65"/>
      <c r="JX1" s="65"/>
      <c r="JY1" s="65"/>
      <c r="JZ1" s="65"/>
      <c r="KA1" s="65"/>
      <c r="KB1" s="65"/>
      <c r="KC1" s="65"/>
      <c r="KD1" s="65"/>
      <c r="KE1" s="65"/>
      <c r="KF1" s="65"/>
      <c r="KG1" s="65"/>
      <c r="KH1" s="65"/>
      <c r="KI1" s="65"/>
      <c r="KJ1" s="65"/>
      <c r="KK1" s="65"/>
      <c r="KL1" s="65"/>
      <c r="KM1" s="65"/>
      <c r="KN1" s="65"/>
      <c r="KO1" s="65"/>
      <c r="KP1" s="65"/>
      <c r="KQ1" s="65"/>
      <c r="KR1" s="65"/>
      <c r="KS1" s="65"/>
      <c r="KT1" s="65"/>
      <c r="KU1" s="65"/>
      <c r="KV1" s="65"/>
      <c r="KW1" s="65"/>
      <c r="KX1" s="65"/>
      <c r="KY1" s="65"/>
      <c r="KZ1" s="65"/>
      <c r="LA1" s="65"/>
      <c r="LB1" s="65"/>
      <c r="LC1" s="65"/>
      <c r="LD1" s="65"/>
      <c r="LE1" s="65"/>
      <c r="LF1" s="65"/>
      <c r="LG1" s="65"/>
      <c r="LH1" s="65"/>
      <c r="LI1" s="65"/>
      <c r="LJ1" s="65"/>
      <c r="LK1" s="65"/>
      <c r="LL1" s="65"/>
      <c r="LM1" s="65"/>
      <c r="LN1" s="65"/>
      <c r="LO1" s="65"/>
      <c r="LP1" s="65"/>
      <c r="LQ1" s="65"/>
      <c r="LR1" s="65"/>
      <c r="LS1" s="65"/>
      <c r="LT1" s="65"/>
      <c r="LU1" s="65"/>
      <c r="LV1" s="65"/>
      <c r="LW1" s="65"/>
      <c r="LX1" s="65"/>
      <c r="LY1" s="65"/>
      <c r="LZ1" s="65"/>
      <c r="MA1" s="65"/>
      <c r="MB1" s="65"/>
      <c r="MC1" s="65"/>
      <c r="MD1" s="65"/>
      <c r="ME1" s="65"/>
      <c r="MF1" s="65"/>
      <c r="MG1" s="65"/>
      <c r="MH1" s="65"/>
      <c r="MI1" s="65"/>
      <c r="MJ1" s="65"/>
      <c r="MK1" s="65"/>
      <c r="ML1" s="65"/>
      <c r="MM1" s="65"/>
      <c r="MN1" s="65"/>
      <c r="MO1" s="65"/>
      <c r="MP1" s="65"/>
      <c r="MQ1" s="65"/>
      <c r="MR1" s="65"/>
      <c r="MS1" s="65"/>
      <c r="MT1" s="65"/>
      <c r="MU1" s="65"/>
      <c r="MV1" s="65"/>
      <c r="MW1" s="65"/>
      <c r="MX1" s="65"/>
      <c r="MY1" s="65"/>
      <c r="MZ1" s="65"/>
      <c r="NA1" s="65"/>
      <c r="NB1" s="65"/>
      <c r="NC1" s="65"/>
      <c r="ND1" s="65"/>
      <c r="NE1" s="65"/>
      <c r="NF1" s="65"/>
      <c r="NG1" s="65"/>
      <c r="NH1" s="65"/>
      <c r="NI1" s="65"/>
      <c r="NJ1" s="65"/>
      <c r="NK1" s="65"/>
      <c r="NL1" s="65"/>
      <c r="NM1" s="65"/>
      <c r="NN1" s="65"/>
      <c r="NO1" s="65"/>
      <c r="NP1" s="65"/>
      <c r="NQ1" s="65"/>
      <c r="NR1" s="62"/>
      <c r="NS1" s="62"/>
      <c r="NT1" s="62"/>
      <c r="NU1" s="62"/>
    </row>
    <row r="2" spans="1:385" ht="6" customHeight="1">
      <c r="A2" s="54"/>
      <c r="B2" s="54"/>
      <c r="C2" s="54"/>
      <c r="D2" s="58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93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93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93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93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93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93"/>
      <c r="DO2" s="93"/>
      <c r="DP2" s="93"/>
      <c r="DQ2" s="93"/>
      <c r="DR2" s="93"/>
      <c r="DS2" s="93"/>
      <c r="DT2" s="93"/>
      <c r="DU2" s="93"/>
      <c r="DV2" s="93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93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  <c r="IZ2" s="65"/>
      <c r="JA2" s="65"/>
      <c r="JB2" s="65"/>
      <c r="JC2" s="65"/>
      <c r="JD2" s="65"/>
      <c r="JE2" s="65"/>
      <c r="JF2" s="65"/>
      <c r="JG2" s="65"/>
      <c r="JH2" s="65"/>
      <c r="JI2" s="65"/>
      <c r="JJ2" s="65"/>
      <c r="JK2" s="65"/>
      <c r="JL2" s="65"/>
      <c r="JM2" s="65"/>
      <c r="JN2" s="65"/>
      <c r="JO2" s="65"/>
      <c r="JP2" s="65"/>
      <c r="JQ2" s="65"/>
      <c r="JR2" s="65"/>
      <c r="JS2" s="65"/>
      <c r="JT2" s="65"/>
      <c r="JU2" s="65"/>
      <c r="JV2" s="65"/>
      <c r="JW2" s="65"/>
      <c r="JX2" s="65"/>
      <c r="JY2" s="65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/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65"/>
      <c r="LO2" s="65"/>
      <c r="LP2" s="65"/>
      <c r="LQ2" s="65"/>
      <c r="LR2" s="65"/>
      <c r="LS2" s="65"/>
      <c r="LT2" s="65"/>
      <c r="LU2" s="65"/>
      <c r="LV2" s="65"/>
      <c r="LW2" s="65"/>
      <c r="LX2" s="65"/>
      <c r="LY2" s="65"/>
      <c r="LZ2" s="65"/>
      <c r="MA2" s="65"/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65"/>
      <c r="MP2" s="65"/>
      <c r="MQ2" s="65"/>
      <c r="MR2" s="65"/>
      <c r="MS2" s="65"/>
      <c r="MT2" s="65"/>
      <c r="MU2" s="65"/>
      <c r="MV2" s="65"/>
      <c r="MW2" s="65"/>
      <c r="MX2" s="65"/>
      <c r="MY2" s="65"/>
      <c r="MZ2" s="65"/>
      <c r="NA2" s="65"/>
      <c r="NB2" s="65"/>
      <c r="NC2" s="65"/>
      <c r="ND2" s="65"/>
      <c r="NE2" s="65"/>
      <c r="NF2" s="65"/>
      <c r="NG2" s="65"/>
      <c r="NH2" s="65"/>
      <c r="NI2" s="65"/>
      <c r="NJ2" s="65"/>
      <c r="NK2" s="65"/>
      <c r="NL2" s="65"/>
      <c r="NM2" s="65"/>
      <c r="NN2" s="65"/>
      <c r="NO2" s="65"/>
      <c r="NP2" s="65"/>
      <c r="NQ2" s="65"/>
      <c r="NR2" s="62"/>
      <c r="NS2" s="62"/>
      <c r="NT2" s="62"/>
      <c r="NU2" s="62"/>
    </row>
    <row r="3" spans="1:385" ht="24.6" customHeight="1">
      <c r="A3" s="689" t="s">
        <v>36</v>
      </c>
      <c r="B3" s="689" t="s">
        <v>150</v>
      </c>
      <c r="C3" s="694" t="s">
        <v>151</v>
      </c>
      <c r="D3" s="692" t="str">
        <f>'Planeación y Costo ✓'!F3</f>
        <v>Duración horas</v>
      </c>
      <c r="E3" s="697" t="s">
        <v>152</v>
      </c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  <c r="Y3" s="697"/>
      <c r="Z3" s="697"/>
      <c r="AA3" s="697"/>
      <c r="AB3" s="697"/>
      <c r="AC3" s="697"/>
      <c r="AD3" s="697"/>
      <c r="AE3" s="697"/>
      <c r="AF3" s="697"/>
      <c r="AG3" s="697"/>
      <c r="AH3" s="697"/>
      <c r="AI3" s="697"/>
      <c r="AJ3" s="697" t="s">
        <v>153</v>
      </c>
      <c r="AK3" s="697"/>
      <c r="AL3" s="697"/>
      <c r="AM3" s="697"/>
      <c r="AN3" s="697"/>
      <c r="AO3" s="697"/>
      <c r="AP3" s="697"/>
      <c r="AQ3" s="697"/>
      <c r="AR3" s="697"/>
      <c r="AS3" s="697"/>
      <c r="AT3" s="697"/>
      <c r="AU3" s="697"/>
      <c r="AV3" s="697"/>
      <c r="AW3" s="697"/>
      <c r="AX3" s="697"/>
      <c r="AY3" s="697"/>
      <c r="AZ3" s="697"/>
      <c r="BA3" s="697"/>
      <c r="BB3" s="697"/>
      <c r="BC3" s="697"/>
      <c r="BD3" s="697"/>
      <c r="BE3" s="697"/>
      <c r="BF3" s="697"/>
      <c r="BG3" s="697"/>
      <c r="BH3" s="697"/>
      <c r="BI3" s="697"/>
      <c r="BJ3" s="697"/>
      <c r="BK3" s="697"/>
      <c r="BL3" s="697"/>
      <c r="BM3" s="697"/>
      <c r="BN3" s="698" t="s">
        <v>154</v>
      </c>
      <c r="BO3" s="699"/>
      <c r="BP3" s="699"/>
      <c r="BQ3" s="699"/>
      <c r="BR3" s="699"/>
      <c r="BS3" s="699"/>
      <c r="BT3" s="699"/>
      <c r="BU3" s="699"/>
      <c r="BV3" s="699"/>
      <c r="BW3" s="699"/>
      <c r="BX3" s="699"/>
      <c r="BY3" s="699"/>
      <c r="BZ3" s="699"/>
      <c r="CA3" s="699"/>
      <c r="CB3" s="699"/>
      <c r="CC3" s="699"/>
      <c r="CD3" s="699"/>
      <c r="CE3" s="699"/>
      <c r="CF3" s="699"/>
      <c r="CG3" s="699"/>
      <c r="CH3" s="699"/>
      <c r="CI3" s="699"/>
      <c r="CJ3" s="699"/>
      <c r="CK3" s="699"/>
      <c r="CL3" s="699"/>
      <c r="CM3" s="699"/>
      <c r="CN3" s="699"/>
      <c r="CO3" s="699"/>
      <c r="CP3" s="699"/>
      <c r="CQ3" s="699"/>
      <c r="CR3" s="699"/>
      <c r="CS3" s="698" t="s">
        <v>155</v>
      </c>
      <c r="CT3" s="699"/>
      <c r="CU3" s="699"/>
      <c r="CV3" s="699"/>
      <c r="CW3" s="699"/>
      <c r="CX3" s="699"/>
      <c r="CY3" s="699"/>
      <c r="CZ3" s="699"/>
      <c r="DA3" s="699"/>
      <c r="DB3" s="699"/>
      <c r="DC3" s="699"/>
      <c r="DD3" s="699"/>
      <c r="DE3" s="699"/>
      <c r="DF3" s="699"/>
      <c r="DG3" s="699"/>
      <c r="DH3" s="699"/>
      <c r="DI3" s="699"/>
      <c r="DJ3" s="699"/>
      <c r="DK3" s="699"/>
      <c r="DL3" s="699"/>
      <c r="DM3" s="699"/>
      <c r="DN3" s="699"/>
      <c r="DO3" s="699"/>
      <c r="DP3" s="699"/>
      <c r="DQ3" s="699"/>
      <c r="DR3" s="699"/>
      <c r="DS3" s="699"/>
      <c r="DT3" s="699"/>
      <c r="DU3" s="699"/>
      <c r="DV3" s="704"/>
      <c r="DW3" s="698" t="s">
        <v>156</v>
      </c>
      <c r="DX3" s="699"/>
      <c r="DY3" s="699"/>
      <c r="DZ3" s="699"/>
      <c r="EA3" s="699"/>
      <c r="EB3" s="699"/>
      <c r="EC3" s="699"/>
      <c r="ED3" s="699"/>
      <c r="EE3" s="699"/>
      <c r="EF3" s="699"/>
      <c r="EG3" s="699"/>
      <c r="EH3" s="699"/>
      <c r="EI3" s="699"/>
      <c r="EJ3" s="699"/>
      <c r="EK3" s="699"/>
      <c r="EL3" s="699"/>
      <c r="EM3" s="699"/>
      <c r="EN3" s="699"/>
      <c r="EO3" s="699"/>
      <c r="EP3" s="699"/>
      <c r="EQ3" s="699"/>
      <c r="ER3" s="699"/>
      <c r="ES3" s="699"/>
      <c r="ET3" s="699"/>
      <c r="EU3" s="699"/>
      <c r="EV3" s="699"/>
      <c r="EW3" s="699"/>
      <c r="EX3" s="699"/>
      <c r="EY3" s="699"/>
      <c r="EZ3" s="699"/>
      <c r="FA3" s="704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65"/>
      <c r="JO3" s="65"/>
      <c r="JP3" s="65"/>
      <c r="JQ3" s="65"/>
      <c r="JR3" s="65"/>
      <c r="JS3" s="65"/>
      <c r="JT3" s="65"/>
      <c r="JU3" s="65"/>
      <c r="JV3" s="65"/>
      <c r="JW3" s="65"/>
      <c r="JX3" s="65"/>
      <c r="JY3" s="65"/>
      <c r="JZ3" s="65"/>
      <c r="KA3" s="65"/>
      <c r="KB3" s="65"/>
      <c r="KC3" s="65"/>
      <c r="KD3" s="65"/>
      <c r="KE3" s="65"/>
      <c r="KF3" s="65"/>
      <c r="KG3" s="65"/>
      <c r="KH3" s="65"/>
      <c r="KI3" s="65"/>
      <c r="KJ3" s="65"/>
      <c r="KK3" s="65"/>
      <c r="KL3" s="65"/>
      <c r="KM3" s="65"/>
      <c r="KN3" s="65"/>
      <c r="KO3" s="65"/>
      <c r="KP3" s="65"/>
      <c r="KQ3" s="65"/>
      <c r="KR3" s="65"/>
      <c r="KS3" s="65"/>
      <c r="KT3" s="65"/>
      <c r="KU3" s="65"/>
      <c r="KV3" s="65"/>
      <c r="KW3" s="65"/>
      <c r="KX3" s="65"/>
      <c r="KY3" s="65"/>
      <c r="KZ3" s="65"/>
      <c r="LA3" s="65"/>
      <c r="LB3" s="65"/>
      <c r="LC3" s="65"/>
      <c r="LD3" s="65"/>
      <c r="LE3" s="65"/>
      <c r="LF3" s="65"/>
      <c r="LG3" s="65"/>
      <c r="LH3" s="65"/>
      <c r="LI3" s="65"/>
      <c r="LJ3" s="65"/>
      <c r="LK3" s="65"/>
      <c r="LL3" s="65"/>
      <c r="LM3" s="65"/>
      <c r="LN3" s="65"/>
      <c r="LO3" s="65"/>
      <c r="LP3" s="65"/>
      <c r="LQ3" s="65"/>
      <c r="LR3" s="65"/>
      <c r="LS3" s="65"/>
      <c r="LT3" s="65"/>
      <c r="LU3" s="65"/>
      <c r="LV3" s="65"/>
      <c r="LW3" s="65"/>
      <c r="LX3" s="65"/>
      <c r="LY3" s="65"/>
      <c r="LZ3" s="65"/>
      <c r="MA3" s="65"/>
      <c r="MB3" s="65"/>
      <c r="MC3" s="65"/>
      <c r="MD3" s="65"/>
      <c r="ME3" s="65"/>
      <c r="MF3" s="65"/>
      <c r="MG3" s="65"/>
      <c r="MH3" s="65"/>
      <c r="MI3" s="65"/>
      <c r="MJ3" s="65"/>
      <c r="MK3" s="65"/>
      <c r="ML3" s="65"/>
      <c r="MM3" s="65"/>
      <c r="MN3" s="65"/>
      <c r="MO3" s="65"/>
      <c r="MP3" s="65"/>
      <c r="MQ3" s="65"/>
      <c r="MR3" s="65"/>
      <c r="MS3" s="65"/>
      <c r="MT3" s="65"/>
      <c r="MU3" s="65"/>
      <c r="MV3" s="65"/>
      <c r="MW3" s="65"/>
      <c r="MX3" s="65"/>
      <c r="MY3" s="65"/>
      <c r="MZ3" s="65"/>
      <c r="NA3" s="65"/>
      <c r="NB3" s="65"/>
      <c r="NC3" s="65"/>
      <c r="ND3" s="65"/>
      <c r="NE3" s="65"/>
      <c r="NF3" s="65"/>
      <c r="NG3" s="65"/>
      <c r="NH3" s="65"/>
      <c r="NI3" s="65"/>
      <c r="NJ3" s="65"/>
      <c r="NK3" s="65"/>
      <c r="NL3" s="65"/>
      <c r="NM3" s="65"/>
      <c r="NN3" s="65"/>
      <c r="NO3" s="65"/>
      <c r="NP3" s="65"/>
      <c r="NQ3" s="65"/>
      <c r="NR3" s="62"/>
      <c r="NS3" s="62"/>
      <c r="NT3" s="62"/>
      <c r="NU3" s="62"/>
    </row>
    <row r="4" spans="1:385" ht="30.6" customHeight="1">
      <c r="A4" s="690"/>
      <c r="B4" s="690"/>
      <c r="C4" s="695"/>
      <c r="D4" s="692"/>
      <c r="E4" s="73">
        <v>1</v>
      </c>
      <c r="F4" s="73">
        <v>2</v>
      </c>
      <c r="G4" s="73">
        <v>3</v>
      </c>
      <c r="H4" s="73">
        <v>4</v>
      </c>
      <c r="I4" s="73">
        <v>5</v>
      </c>
      <c r="J4" s="73">
        <v>6</v>
      </c>
      <c r="K4" s="73">
        <v>7</v>
      </c>
      <c r="L4" s="73">
        <v>8</v>
      </c>
      <c r="M4" s="73">
        <v>9</v>
      </c>
      <c r="N4" s="73">
        <v>10</v>
      </c>
      <c r="O4" s="73">
        <v>11</v>
      </c>
      <c r="P4" s="73">
        <v>12</v>
      </c>
      <c r="Q4" s="73">
        <v>13</v>
      </c>
      <c r="R4" s="73">
        <v>14</v>
      </c>
      <c r="S4" s="73">
        <v>15</v>
      </c>
      <c r="T4" s="73">
        <v>16</v>
      </c>
      <c r="U4" s="73">
        <v>17</v>
      </c>
      <c r="V4" s="73">
        <v>18</v>
      </c>
      <c r="W4" s="73">
        <v>19</v>
      </c>
      <c r="X4" s="73">
        <v>20</v>
      </c>
      <c r="Y4" s="73">
        <v>21</v>
      </c>
      <c r="Z4" s="73">
        <v>22</v>
      </c>
      <c r="AA4" s="73">
        <v>23</v>
      </c>
      <c r="AB4" s="73">
        <v>24</v>
      </c>
      <c r="AC4" s="73">
        <v>25</v>
      </c>
      <c r="AD4" s="73">
        <v>26</v>
      </c>
      <c r="AE4" s="73">
        <v>27</v>
      </c>
      <c r="AF4" s="73">
        <v>28</v>
      </c>
      <c r="AG4" s="73">
        <v>29</v>
      </c>
      <c r="AH4" s="73">
        <v>30</v>
      </c>
      <c r="AI4" s="73">
        <v>31</v>
      </c>
      <c r="AJ4" s="73">
        <v>1</v>
      </c>
      <c r="AK4" s="73">
        <v>2</v>
      </c>
      <c r="AL4" s="73">
        <v>3</v>
      </c>
      <c r="AM4" s="73">
        <v>4</v>
      </c>
      <c r="AN4" s="73">
        <v>5</v>
      </c>
      <c r="AO4" s="73">
        <v>6</v>
      </c>
      <c r="AP4" s="73">
        <v>7</v>
      </c>
      <c r="AQ4" s="73">
        <v>8</v>
      </c>
      <c r="AR4" s="73">
        <v>9</v>
      </c>
      <c r="AS4" s="73">
        <v>10</v>
      </c>
      <c r="AT4" s="73">
        <v>11</v>
      </c>
      <c r="AU4" s="73">
        <v>12</v>
      </c>
      <c r="AV4" s="73">
        <v>13</v>
      </c>
      <c r="AW4" s="73">
        <v>14</v>
      </c>
      <c r="AX4" s="73">
        <v>15</v>
      </c>
      <c r="AY4" s="73">
        <v>16</v>
      </c>
      <c r="AZ4" s="73">
        <v>17</v>
      </c>
      <c r="BA4" s="73">
        <v>18</v>
      </c>
      <c r="BB4" s="73">
        <v>19</v>
      </c>
      <c r="BC4" s="73">
        <v>20</v>
      </c>
      <c r="BD4" s="73">
        <v>21</v>
      </c>
      <c r="BE4" s="73">
        <v>22</v>
      </c>
      <c r="BF4" s="73">
        <v>23</v>
      </c>
      <c r="BG4" s="73">
        <v>24</v>
      </c>
      <c r="BH4" s="73">
        <v>25</v>
      </c>
      <c r="BI4" s="73">
        <v>26</v>
      </c>
      <c r="BJ4" s="73">
        <v>27</v>
      </c>
      <c r="BK4" s="73">
        <v>28</v>
      </c>
      <c r="BL4" s="73">
        <v>29</v>
      </c>
      <c r="BM4" s="73">
        <v>30</v>
      </c>
      <c r="BN4" s="73">
        <v>1</v>
      </c>
      <c r="BO4" s="73">
        <v>2</v>
      </c>
      <c r="BP4" s="73">
        <v>3</v>
      </c>
      <c r="BQ4" s="73">
        <v>4</v>
      </c>
      <c r="BR4" s="73">
        <v>5</v>
      </c>
      <c r="BS4" s="73">
        <v>6</v>
      </c>
      <c r="BT4" s="73">
        <v>7</v>
      </c>
      <c r="BU4" s="73">
        <v>8</v>
      </c>
      <c r="BV4" s="73">
        <v>9</v>
      </c>
      <c r="BW4" s="73">
        <v>10</v>
      </c>
      <c r="BX4" s="73">
        <v>11</v>
      </c>
      <c r="BY4" s="73">
        <v>12</v>
      </c>
      <c r="BZ4" s="73">
        <v>13</v>
      </c>
      <c r="CA4" s="73">
        <v>14</v>
      </c>
      <c r="CB4" s="73">
        <v>15</v>
      </c>
      <c r="CC4" s="73">
        <v>16</v>
      </c>
      <c r="CD4" s="73">
        <v>17</v>
      </c>
      <c r="CE4" s="73">
        <v>18</v>
      </c>
      <c r="CF4" s="73">
        <v>19</v>
      </c>
      <c r="CG4" s="73">
        <v>20</v>
      </c>
      <c r="CH4" s="73">
        <v>21</v>
      </c>
      <c r="CI4" s="73">
        <v>22</v>
      </c>
      <c r="CJ4" s="73">
        <v>23</v>
      </c>
      <c r="CK4" s="73">
        <v>24</v>
      </c>
      <c r="CL4" s="73">
        <v>25</v>
      </c>
      <c r="CM4" s="73">
        <v>26</v>
      </c>
      <c r="CN4" s="73">
        <v>27</v>
      </c>
      <c r="CO4" s="73">
        <v>28</v>
      </c>
      <c r="CP4" s="73">
        <v>29</v>
      </c>
      <c r="CQ4" s="73">
        <v>30</v>
      </c>
      <c r="CR4" s="73">
        <v>31</v>
      </c>
      <c r="CS4" s="73">
        <v>1</v>
      </c>
      <c r="CT4" s="73">
        <v>2</v>
      </c>
      <c r="CU4" s="73">
        <v>3</v>
      </c>
      <c r="CV4" s="73">
        <v>4</v>
      </c>
      <c r="CW4" s="73">
        <v>5</v>
      </c>
      <c r="CX4" s="73">
        <v>6</v>
      </c>
      <c r="CY4" s="73">
        <v>7</v>
      </c>
      <c r="CZ4" s="73">
        <v>8</v>
      </c>
      <c r="DA4" s="73">
        <v>9</v>
      </c>
      <c r="DB4" s="73">
        <v>10</v>
      </c>
      <c r="DC4" s="73">
        <v>11</v>
      </c>
      <c r="DD4" s="73">
        <v>12</v>
      </c>
      <c r="DE4" s="73">
        <v>13</v>
      </c>
      <c r="DF4" s="73">
        <v>14</v>
      </c>
      <c r="DG4" s="73">
        <v>15</v>
      </c>
      <c r="DH4" s="73">
        <v>16</v>
      </c>
      <c r="DI4" s="73">
        <v>17</v>
      </c>
      <c r="DJ4" s="73">
        <v>18</v>
      </c>
      <c r="DK4" s="73">
        <v>19</v>
      </c>
      <c r="DL4" s="73">
        <v>20</v>
      </c>
      <c r="DM4" s="73">
        <v>21</v>
      </c>
      <c r="DN4" s="73">
        <v>22</v>
      </c>
      <c r="DO4" s="73">
        <v>23</v>
      </c>
      <c r="DP4" s="73">
        <v>24</v>
      </c>
      <c r="DQ4" s="73">
        <v>25</v>
      </c>
      <c r="DR4" s="73">
        <v>26</v>
      </c>
      <c r="DS4" s="73">
        <v>27</v>
      </c>
      <c r="DT4" s="73">
        <v>28</v>
      </c>
      <c r="DU4" s="73">
        <v>29</v>
      </c>
      <c r="DV4" s="73">
        <v>30</v>
      </c>
      <c r="DW4" s="73">
        <v>1</v>
      </c>
      <c r="DX4" s="73">
        <v>2</v>
      </c>
      <c r="DY4" s="73">
        <v>3</v>
      </c>
      <c r="DZ4" s="73">
        <v>4</v>
      </c>
      <c r="EA4" s="73">
        <v>5</v>
      </c>
      <c r="EB4" s="73">
        <v>6</v>
      </c>
      <c r="EC4" s="73">
        <v>7</v>
      </c>
      <c r="ED4" s="73">
        <v>8</v>
      </c>
      <c r="EE4" s="73">
        <v>9</v>
      </c>
      <c r="EF4" s="73">
        <v>10</v>
      </c>
      <c r="EG4" s="73">
        <v>11</v>
      </c>
      <c r="EH4" s="73">
        <v>12</v>
      </c>
      <c r="EI4" s="73">
        <v>13</v>
      </c>
      <c r="EJ4" s="73">
        <v>14</v>
      </c>
      <c r="EK4" s="73">
        <v>15</v>
      </c>
      <c r="EL4" s="73">
        <v>16</v>
      </c>
      <c r="EM4" s="73">
        <v>17</v>
      </c>
      <c r="EN4" s="73">
        <v>18</v>
      </c>
      <c r="EO4" s="73">
        <v>19</v>
      </c>
      <c r="EP4" s="73">
        <v>20</v>
      </c>
      <c r="EQ4" s="73">
        <v>21</v>
      </c>
      <c r="ER4" s="73">
        <v>22</v>
      </c>
      <c r="ES4" s="73">
        <v>23</v>
      </c>
      <c r="ET4" s="73">
        <v>24</v>
      </c>
      <c r="EU4" s="73">
        <v>25</v>
      </c>
      <c r="EV4" s="73">
        <v>26</v>
      </c>
      <c r="EW4" s="73">
        <v>27</v>
      </c>
      <c r="EX4" s="111">
        <v>28</v>
      </c>
      <c r="EY4" s="111">
        <v>29</v>
      </c>
      <c r="EZ4" s="111">
        <v>30</v>
      </c>
      <c r="FA4" s="111">
        <v>31</v>
      </c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  <c r="IW4" s="65"/>
      <c r="IX4" s="65"/>
      <c r="IY4" s="65"/>
      <c r="IZ4" s="65"/>
      <c r="JA4" s="65"/>
      <c r="JB4" s="65"/>
      <c r="JC4" s="65"/>
      <c r="JD4" s="65"/>
      <c r="JE4" s="65"/>
      <c r="JF4" s="65"/>
      <c r="JG4" s="65"/>
      <c r="JH4" s="65"/>
      <c r="JI4" s="65"/>
      <c r="JJ4" s="65"/>
      <c r="JK4" s="65"/>
      <c r="JL4" s="65"/>
      <c r="JM4" s="65"/>
      <c r="JN4" s="65"/>
      <c r="JO4" s="65"/>
      <c r="JP4" s="65"/>
      <c r="JQ4" s="65"/>
      <c r="JR4" s="65"/>
      <c r="JS4" s="65"/>
      <c r="JT4" s="65"/>
      <c r="JU4" s="65"/>
      <c r="JV4" s="65"/>
      <c r="JW4" s="65"/>
      <c r="JX4" s="65"/>
      <c r="JY4" s="65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65"/>
      <c r="KR4" s="65"/>
      <c r="KS4" s="65"/>
      <c r="KT4" s="65"/>
      <c r="KU4" s="65"/>
      <c r="KV4" s="65"/>
      <c r="KW4" s="65"/>
      <c r="KX4" s="65"/>
      <c r="KY4" s="65"/>
      <c r="KZ4" s="65"/>
      <c r="LA4" s="65"/>
      <c r="LB4" s="65"/>
      <c r="LC4" s="65"/>
      <c r="LD4" s="65"/>
      <c r="LE4" s="65"/>
      <c r="LF4" s="65"/>
      <c r="LG4" s="65"/>
      <c r="LH4" s="65"/>
      <c r="LI4" s="65"/>
      <c r="LJ4" s="65"/>
      <c r="LK4" s="65"/>
      <c r="LL4" s="65"/>
      <c r="LM4" s="65"/>
      <c r="LN4" s="65"/>
      <c r="LO4" s="65"/>
      <c r="LP4" s="65"/>
      <c r="LQ4" s="65"/>
      <c r="LR4" s="65"/>
      <c r="LS4" s="65"/>
      <c r="LT4" s="65"/>
      <c r="LU4" s="65"/>
      <c r="LV4" s="65"/>
      <c r="LW4" s="65"/>
      <c r="LX4" s="65"/>
      <c r="LY4" s="65"/>
      <c r="LZ4" s="65"/>
      <c r="MA4" s="65"/>
      <c r="MB4" s="65"/>
      <c r="MC4" s="65"/>
      <c r="MD4" s="65"/>
      <c r="ME4" s="65"/>
      <c r="MF4" s="65"/>
      <c r="MG4" s="65"/>
      <c r="MH4" s="65"/>
      <c r="MI4" s="65"/>
      <c r="MJ4" s="65"/>
      <c r="MK4" s="65"/>
      <c r="ML4" s="65"/>
      <c r="MM4" s="65"/>
      <c r="MN4" s="65"/>
      <c r="MO4" s="65"/>
      <c r="MP4" s="65"/>
      <c r="MQ4" s="65"/>
      <c r="MR4" s="65"/>
      <c r="MS4" s="65"/>
      <c r="MT4" s="65"/>
      <c r="MU4" s="65"/>
      <c r="MV4" s="65"/>
      <c r="MW4" s="65"/>
      <c r="MX4" s="65"/>
      <c r="MY4" s="65"/>
      <c r="MZ4" s="65"/>
      <c r="NA4" s="65"/>
      <c r="NB4" s="65"/>
      <c r="NC4" s="65"/>
      <c r="ND4" s="65"/>
      <c r="NE4" s="65"/>
      <c r="NF4" s="65"/>
      <c r="NG4" s="65"/>
      <c r="NH4" s="65"/>
      <c r="NI4" s="65"/>
      <c r="NJ4" s="65"/>
      <c r="NK4" s="65"/>
      <c r="NL4" s="65"/>
      <c r="NM4" s="65"/>
      <c r="NN4" s="65"/>
      <c r="NO4" s="65"/>
      <c r="NP4" s="65"/>
      <c r="NQ4" s="65"/>
      <c r="NR4" s="62"/>
      <c r="NS4" s="62"/>
      <c r="NT4" s="62"/>
      <c r="NU4" s="62"/>
    </row>
    <row r="5" spans="1:385" ht="30.6" customHeight="1">
      <c r="A5" s="691"/>
      <c r="B5" s="691"/>
      <c r="C5" s="696"/>
      <c r="D5" s="693"/>
      <c r="E5" s="683" t="s">
        <v>157</v>
      </c>
      <c r="F5" s="684"/>
      <c r="G5" s="683" t="s">
        <v>158</v>
      </c>
      <c r="H5" s="705"/>
      <c r="I5" s="705"/>
      <c r="J5" s="705"/>
      <c r="K5" s="705"/>
      <c r="L5" s="705"/>
      <c r="M5" s="684"/>
      <c r="N5" s="683" t="s">
        <v>159</v>
      </c>
      <c r="O5" s="705"/>
      <c r="P5" s="705"/>
      <c r="Q5" s="705"/>
      <c r="R5" s="705"/>
      <c r="S5" s="705"/>
      <c r="T5" s="684"/>
      <c r="U5" s="683" t="s">
        <v>160</v>
      </c>
      <c r="V5" s="705"/>
      <c r="W5" s="705"/>
      <c r="X5" s="705"/>
      <c r="Y5" s="705"/>
      <c r="Z5" s="705"/>
      <c r="AA5" s="684"/>
      <c r="AB5" s="683" t="s">
        <v>161</v>
      </c>
      <c r="AC5" s="705"/>
      <c r="AD5" s="705"/>
      <c r="AE5" s="705"/>
      <c r="AF5" s="705"/>
      <c r="AG5" s="705"/>
      <c r="AH5" s="684"/>
      <c r="AI5" s="683" t="s">
        <v>162</v>
      </c>
      <c r="AJ5" s="705"/>
      <c r="AK5" s="705"/>
      <c r="AL5" s="705"/>
      <c r="AM5" s="705"/>
      <c r="AN5" s="705"/>
      <c r="AO5" s="684"/>
      <c r="AP5" s="683" t="s">
        <v>163</v>
      </c>
      <c r="AQ5" s="705"/>
      <c r="AR5" s="705"/>
      <c r="AS5" s="705"/>
      <c r="AT5" s="705"/>
      <c r="AU5" s="705"/>
      <c r="AV5" s="684"/>
      <c r="AW5" s="683" t="s">
        <v>164</v>
      </c>
      <c r="AX5" s="705"/>
      <c r="AY5" s="705"/>
      <c r="AZ5" s="705"/>
      <c r="BA5" s="705"/>
      <c r="BB5" s="705"/>
      <c r="BC5" s="684"/>
      <c r="BD5" s="683" t="s">
        <v>165</v>
      </c>
      <c r="BE5" s="705"/>
      <c r="BF5" s="705"/>
      <c r="BG5" s="705"/>
      <c r="BH5" s="705"/>
      <c r="BI5" s="705"/>
      <c r="BJ5" s="684"/>
      <c r="BK5" s="683" t="s">
        <v>166</v>
      </c>
      <c r="BL5" s="705"/>
      <c r="BM5" s="705"/>
      <c r="BN5" s="705"/>
      <c r="BO5" s="705"/>
      <c r="BP5" s="705"/>
      <c r="BQ5" s="684"/>
      <c r="BR5" s="683" t="s">
        <v>167</v>
      </c>
      <c r="BS5" s="705"/>
      <c r="BT5" s="705"/>
      <c r="BU5" s="705"/>
      <c r="BV5" s="705"/>
      <c r="BW5" s="705"/>
      <c r="BX5" s="684"/>
      <c r="BY5" s="683" t="s">
        <v>168</v>
      </c>
      <c r="BZ5" s="705"/>
      <c r="CA5" s="705"/>
      <c r="CB5" s="705"/>
      <c r="CC5" s="705"/>
      <c r="CD5" s="705"/>
      <c r="CE5" s="684"/>
      <c r="CF5" s="683" t="s">
        <v>169</v>
      </c>
      <c r="CG5" s="705"/>
      <c r="CH5" s="705"/>
      <c r="CI5" s="705"/>
      <c r="CJ5" s="705"/>
      <c r="CK5" s="705"/>
      <c r="CL5" s="684"/>
      <c r="CM5" s="683" t="s">
        <v>170</v>
      </c>
      <c r="CN5" s="705"/>
      <c r="CO5" s="705"/>
      <c r="CP5" s="705"/>
      <c r="CQ5" s="705"/>
      <c r="CR5" s="705"/>
      <c r="CS5" s="684"/>
      <c r="CT5" s="683" t="s">
        <v>171</v>
      </c>
      <c r="CU5" s="705"/>
      <c r="CV5" s="705"/>
      <c r="CW5" s="705"/>
      <c r="CX5" s="705"/>
      <c r="CY5" s="705"/>
      <c r="CZ5" s="684"/>
      <c r="DA5" s="683" t="s">
        <v>172</v>
      </c>
      <c r="DB5" s="705"/>
      <c r="DC5" s="705"/>
      <c r="DD5" s="705"/>
      <c r="DE5" s="705"/>
      <c r="DF5" s="705"/>
      <c r="DG5" s="684"/>
      <c r="DH5" s="683" t="s">
        <v>173</v>
      </c>
      <c r="DI5" s="705"/>
      <c r="DJ5" s="705"/>
      <c r="DK5" s="705"/>
      <c r="DL5" s="705"/>
      <c r="DM5" s="705"/>
      <c r="DN5" s="684"/>
      <c r="DO5" s="683" t="s">
        <v>174</v>
      </c>
      <c r="DP5" s="705"/>
      <c r="DQ5" s="705"/>
      <c r="DR5" s="705"/>
      <c r="DS5" s="705"/>
      <c r="DT5" s="705"/>
      <c r="DU5" s="684"/>
      <c r="DV5" s="683" t="s">
        <v>175</v>
      </c>
      <c r="DW5" s="705"/>
      <c r="DX5" s="705"/>
      <c r="DY5" s="705"/>
      <c r="DZ5" s="705"/>
      <c r="EA5" s="705"/>
      <c r="EB5" s="684"/>
      <c r="EC5" s="683" t="s">
        <v>176</v>
      </c>
      <c r="ED5" s="705"/>
      <c r="EE5" s="705"/>
      <c r="EF5" s="705"/>
      <c r="EG5" s="705"/>
      <c r="EH5" s="705"/>
      <c r="EI5" s="684"/>
      <c r="EJ5" s="683" t="s">
        <v>177</v>
      </c>
      <c r="EK5" s="705"/>
      <c r="EL5" s="705"/>
      <c r="EM5" s="705"/>
      <c r="EN5" s="705"/>
      <c r="EO5" s="705"/>
      <c r="EP5" s="684"/>
      <c r="EQ5" s="683" t="s">
        <v>178</v>
      </c>
      <c r="ER5" s="705"/>
      <c r="ES5" s="705"/>
      <c r="ET5" s="705"/>
      <c r="EU5" s="705"/>
      <c r="EV5" s="705"/>
      <c r="EW5" s="684"/>
      <c r="EX5" s="706" t="s">
        <v>179</v>
      </c>
      <c r="EY5" s="706"/>
      <c r="EZ5" s="706"/>
      <c r="FA5" s="706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2"/>
      <c r="NS5" s="62"/>
      <c r="NT5" s="62"/>
      <c r="NU5" s="62"/>
    </row>
    <row r="6" spans="1:385" ht="29.25" customHeight="1">
      <c r="A6" s="51" t="s">
        <v>180</v>
      </c>
      <c r="B6" s="112">
        <f>'Planeación y Costo ✓'!D5</f>
        <v>45870</v>
      </c>
      <c r="C6" s="112">
        <f>'Planeación y Costo ✓'!E5</f>
        <v>45991</v>
      </c>
      <c r="D6" s="113">
        <f>C6-B6</f>
        <v>121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2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2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2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2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2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2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2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2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140"/>
      <c r="EY6" s="141"/>
      <c r="EZ6" s="141"/>
      <c r="FA6" s="140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65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/>
      <c r="KX6" s="65"/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/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  <c r="MO6" s="65"/>
      <c r="MP6" s="65"/>
      <c r="MQ6" s="65"/>
      <c r="MR6" s="65"/>
      <c r="MS6" s="65"/>
      <c r="MT6" s="65"/>
      <c r="MU6" s="65"/>
      <c r="MV6" s="65"/>
      <c r="MW6" s="65"/>
      <c r="MX6" s="65"/>
      <c r="MY6" s="65"/>
      <c r="MZ6" s="65"/>
      <c r="NA6" s="65"/>
      <c r="NB6" s="65"/>
      <c r="NC6" s="65"/>
      <c r="ND6" s="65"/>
      <c r="NE6" s="65"/>
      <c r="NF6" s="65"/>
      <c r="NG6" s="65"/>
      <c r="NH6" s="65"/>
      <c r="NI6" s="65"/>
      <c r="NJ6" s="65"/>
      <c r="NK6" s="65"/>
      <c r="NL6" s="65"/>
      <c r="NM6" s="65"/>
      <c r="NN6" s="65"/>
      <c r="NO6" s="65"/>
      <c r="NP6" s="65"/>
      <c r="NQ6" s="65"/>
      <c r="NR6" s="62"/>
      <c r="NS6" s="62"/>
      <c r="NT6" s="62"/>
      <c r="NU6" s="62"/>
    </row>
    <row r="7" spans="1:385" s="108" customFormat="1" ht="15" customHeight="1">
      <c r="A7" s="701" t="s">
        <v>181</v>
      </c>
      <c r="B7" s="702"/>
      <c r="C7" s="702"/>
      <c r="D7" s="702"/>
      <c r="E7" s="702"/>
      <c r="F7" s="702"/>
      <c r="G7" s="702"/>
      <c r="H7" s="702"/>
      <c r="I7" s="702"/>
      <c r="J7" s="702"/>
      <c r="K7" s="702"/>
      <c r="L7" s="702"/>
      <c r="M7" s="702"/>
      <c r="N7" s="702"/>
      <c r="O7" s="702"/>
      <c r="P7" s="702"/>
      <c r="Q7" s="702"/>
      <c r="R7" s="702"/>
      <c r="S7" s="702"/>
      <c r="T7" s="702"/>
      <c r="U7" s="702"/>
      <c r="V7" s="702"/>
      <c r="W7" s="702"/>
      <c r="X7" s="702"/>
      <c r="Y7" s="702"/>
      <c r="Z7" s="702"/>
      <c r="AA7" s="702"/>
      <c r="AB7" s="702"/>
      <c r="AC7" s="702"/>
      <c r="AD7" s="702"/>
      <c r="AE7" s="702"/>
      <c r="AF7" s="702"/>
      <c r="AG7" s="702"/>
      <c r="AH7" s="702"/>
      <c r="AI7" s="702"/>
      <c r="AJ7" s="702"/>
      <c r="AK7" s="702"/>
      <c r="AL7" s="702"/>
      <c r="AM7" s="702"/>
      <c r="AN7" s="702"/>
      <c r="AO7" s="702"/>
      <c r="AP7" s="702"/>
      <c r="AQ7" s="702"/>
      <c r="AR7" s="702"/>
      <c r="AS7" s="702"/>
      <c r="AT7" s="702"/>
      <c r="AU7" s="702"/>
      <c r="AV7" s="702"/>
      <c r="AW7" s="702"/>
      <c r="AX7" s="702"/>
      <c r="AY7" s="702"/>
      <c r="AZ7" s="702"/>
      <c r="BA7" s="702"/>
      <c r="BB7" s="702"/>
      <c r="BC7" s="702"/>
      <c r="BD7" s="702"/>
      <c r="BE7" s="702"/>
      <c r="BF7" s="702"/>
      <c r="BG7" s="702"/>
      <c r="BH7" s="702"/>
      <c r="BI7" s="702"/>
      <c r="BJ7" s="702"/>
      <c r="BK7" s="702"/>
      <c r="BL7" s="702"/>
      <c r="BM7" s="702"/>
      <c r="BN7" s="702"/>
      <c r="BO7" s="702"/>
      <c r="BP7" s="702"/>
      <c r="BQ7" s="702"/>
      <c r="BR7" s="702"/>
      <c r="BS7" s="702"/>
      <c r="BT7" s="702"/>
      <c r="BU7" s="702"/>
      <c r="BV7" s="702"/>
      <c r="BW7" s="702"/>
      <c r="BX7" s="702"/>
      <c r="BY7" s="702"/>
      <c r="BZ7" s="702"/>
      <c r="CA7" s="702"/>
      <c r="CB7" s="702"/>
      <c r="CC7" s="702"/>
      <c r="CD7" s="702"/>
      <c r="CE7" s="702"/>
      <c r="CF7" s="702"/>
      <c r="CG7" s="702"/>
      <c r="CH7" s="702"/>
      <c r="CI7" s="702"/>
      <c r="CJ7" s="702"/>
      <c r="CK7" s="702"/>
      <c r="CL7" s="702"/>
      <c r="CM7" s="702"/>
      <c r="CN7" s="702"/>
      <c r="CO7" s="702"/>
      <c r="CP7" s="702"/>
      <c r="CQ7" s="702"/>
      <c r="CR7" s="702"/>
      <c r="CS7" s="702"/>
      <c r="CT7" s="702"/>
      <c r="CU7" s="702"/>
      <c r="CV7" s="702"/>
      <c r="CW7" s="702"/>
      <c r="CX7" s="702"/>
      <c r="CY7" s="702"/>
      <c r="CZ7" s="702"/>
      <c r="DA7" s="702"/>
      <c r="DB7" s="702"/>
      <c r="DC7" s="702"/>
      <c r="DD7" s="702"/>
      <c r="DE7" s="702"/>
      <c r="DF7" s="702"/>
      <c r="DG7" s="702"/>
      <c r="DH7" s="702"/>
      <c r="DI7" s="702"/>
      <c r="DJ7" s="702"/>
      <c r="DK7" s="702"/>
      <c r="DL7" s="702"/>
      <c r="DM7" s="702"/>
      <c r="DN7" s="702"/>
      <c r="DO7" s="702"/>
      <c r="DP7" s="702"/>
      <c r="DQ7" s="702"/>
      <c r="DR7" s="702"/>
      <c r="DS7" s="702"/>
      <c r="DT7" s="702"/>
      <c r="DU7" s="702"/>
      <c r="DV7" s="702"/>
      <c r="DW7" s="702"/>
      <c r="DX7" s="702"/>
      <c r="DY7" s="702"/>
      <c r="DZ7" s="702"/>
      <c r="EA7" s="702"/>
      <c r="EB7" s="702"/>
      <c r="EC7" s="702"/>
      <c r="ED7" s="702"/>
      <c r="EE7" s="702"/>
      <c r="EF7" s="702"/>
      <c r="EG7" s="702"/>
      <c r="EH7" s="702"/>
      <c r="EI7" s="702"/>
      <c r="EJ7" s="702"/>
      <c r="EK7" s="702"/>
      <c r="EL7" s="702"/>
      <c r="EM7" s="702"/>
      <c r="EN7" s="702"/>
      <c r="EO7" s="702"/>
      <c r="EP7" s="702"/>
      <c r="EQ7" s="702"/>
      <c r="ER7" s="702"/>
      <c r="ES7" s="702"/>
      <c r="ET7" s="702"/>
      <c r="EU7" s="702"/>
      <c r="EV7" s="702"/>
      <c r="EW7" s="702"/>
      <c r="EX7" s="702"/>
      <c r="EY7" s="702"/>
      <c r="EZ7" s="702"/>
      <c r="FA7" s="703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</row>
    <row r="8" spans="1:385" ht="15" customHeight="1">
      <c r="A8" s="104" t="str">
        <f>'Planeación y Costo ✓'!C8</f>
        <v>1.1. Acta</v>
      </c>
      <c r="B8" s="105">
        <f>'Planeación y Costo ✓'!D8</f>
        <v>45870</v>
      </c>
      <c r="C8" s="105">
        <f>'Planeación y Costo ✓'!E8</f>
        <v>45870</v>
      </c>
      <c r="D8" s="106">
        <f>'Planeación y Costo ✓'!F8</f>
        <v>8</v>
      </c>
      <c r="E8" s="219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  <c r="DQ8" s="107"/>
      <c r="DR8" s="107"/>
      <c r="DS8" s="107"/>
      <c r="DT8" s="107"/>
      <c r="DU8" s="107"/>
      <c r="DV8" s="107"/>
      <c r="DW8" s="107"/>
      <c r="DX8" s="107"/>
      <c r="DY8" s="107"/>
      <c r="DZ8" s="107"/>
      <c r="EA8" s="107"/>
      <c r="EB8" s="107"/>
      <c r="EC8" s="107"/>
      <c r="ED8" s="107"/>
      <c r="EE8" s="107"/>
      <c r="EF8" s="107"/>
      <c r="EG8" s="107"/>
      <c r="EH8" s="107"/>
      <c r="EI8" s="107"/>
      <c r="EJ8" s="107"/>
      <c r="EK8" s="107"/>
      <c r="EL8" s="107"/>
      <c r="EM8" s="107"/>
      <c r="EN8" s="107"/>
      <c r="EO8" s="107"/>
      <c r="EP8" s="107"/>
      <c r="EQ8" s="107"/>
      <c r="ER8" s="107"/>
      <c r="ES8" s="107"/>
      <c r="ET8" s="107"/>
      <c r="EU8" s="107"/>
      <c r="EV8" s="107"/>
      <c r="EW8" s="107"/>
      <c r="EX8" s="107"/>
      <c r="EY8" s="107"/>
      <c r="EZ8" s="107"/>
      <c r="FA8" s="107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2"/>
      <c r="NS8" s="62"/>
      <c r="NT8" s="62"/>
      <c r="NU8" s="62"/>
    </row>
    <row r="9" spans="1:385" ht="15" customHeight="1">
      <c r="A9" s="74" t="str">
        <f>'Planeación y Costo ✓'!C12</f>
        <v>1.2. Equipo de Trabajo</v>
      </c>
      <c r="B9" s="75">
        <f>'Planeación y Costo ✓'!D12</f>
        <v>45870</v>
      </c>
      <c r="C9" s="75">
        <f>'Planeación y Costo ✓'!E12</f>
        <v>45871</v>
      </c>
      <c r="D9" s="76">
        <f>'Planeación y Costo ✓'!F12</f>
        <v>8</v>
      </c>
      <c r="E9" s="220"/>
      <c r="F9" s="220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7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7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7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7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7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7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7"/>
      <c r="DN9" s="79"/>
      <c r="DO9" s="79"/>
      <c r="DP9" s="79"/>
      <c r="DQ9" s="79"/>
      <c r="DR9" s="79"/>
      <c r="DS9" s="79"/>
      <c r="DT9" s="79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7"/>
      <c r="EK9" s="79"/>
      <c r="EL9" s="79"/>
      <c r="EM9" s="79"/>
      <c r="EN9" s="79"/>
      <c r="EO9" s="79"/>
      <c r="EP9" s="79"/>
      <c r="EQ9" s="79"/>
      <c r="ER9" s="79"/>
      <c r="ES9" s="79"/>
      <c r="ET9" s="79"/>
      <c r="EU9" s="79"/>
      <c r="EV9" s="79"/>
      <c r="EW9" s="79"/>
      <c r="EX9" s="79"/>
      <c r="EY9" s="79"/>
      <c r="EZ9" s="79"/>
      <c r="FA9" s="79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65"/>
      <c r="JQ9" s="65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/>
      <c r="KY9" s="65"/>
      <c r="KZ9" s="65"/>
      <c r="LA9" s="65"/>
      <c r="LB9" s="65"/>
      <c r="LC9" s="65"/>
      <c r="LD9" s="65"/>
      <c r="LE9" s="65"/>
      <c r="LF9" s="65"/>
      <c r="LG9" s="65"/>
      <c r="LH9" s="65"/>
      <c r="LI9" s="65"/>
      <c r="LJ9" s="65"/>
      <c r="LK9" s="65"/>
      <c r="LL9" s="65"/>
      <c r="LM9" s="65"/>
      <c r="LN9" s="65"/>
      <c r="LO9" s="65"/>
      <c r="LP9" s="65"/>
      <c r="LQ9" s="65"/>
      <c r="LR9" s="65"/>
      <c r="LS9" s="65"/>
      <c r="LT9" s="65"/>
      <c r="LU9" s="65"/>
      <c r="LV9" s="65"/>
      <c r="LW9" s="65"/>
      <c r="LX9" s="65"/>
      <c r="LY9" s="65"/>
      <c r="LZ9" s="65"/>
      <c r="MA9" s="65"/>
      <c r="MB9" s="65"/>
      <c r="MC9" s="65"/>
      <c r="MD9" s="65"/>
      <c r="ME9" s="65"/>
      <c r="MF9" s="65"/>
      <c r="MG9" s="65"/>
      <c r="MH9" s="65"/>
      <c r="MI9" s="65"/>
      <c r="MJ9" s="65"/>
      <c r="MK9" s="65"/>
      <c r="ML9" s="65"/>
      <c r="MM9" s="65"/>
      <c r="MN9" s="65"/>
      <c r="MO9" s="65"/>
      <c r="MP9" s="65"/>
      <c r="MQ9" s="65"/>
      <c r="MR9" s="65"/>
      <c r="MS9" s="65"/>
      <c r="MT9" s="65"/>
      <c r="MU9" s="65"/>
      <c r="MV9" s="65"/>
      <c r="MW9" s="65"/>
      <c r="MX9" s="65"/>
      <c r="MY9" s="65"/>
      <c r="MZ9" s="65"/>
      <c r="NA9" s="65"/>
      <c r="NB9" s="65"/>
      <c r="NC9" s="65"/>
      <c r="ND9" s="65"/>
      <c r="NE9" s="65"/>
      <c r="NF9" s="65"/>
      <c r="NG9" s="65"/>
      <c r="NH9" s="65"/>
      <c r="NI9" s="65"/>
      <c r="NJ9" s="65"/>
      <c r="NK9" s="65"/>
      <c r="NL9" s="65"/>
      <c r="NM9" s="65"/>
      <c r="NN9" s="65"/>
      <c r="NO9" s="65"/>
      <c r="NP9" s="65"/>
      <c r="NQ9" s="65"/>
      <c r="NR9" s="62"/>
      <c r="NS9" s="62"/>
      <c r="NT9" s="62"/>
      <c r="NU9" s="62"/>
    </row>
    <row r="10" spans="1:385" ht="15" customHeight="1">
      <c r="A10" s="74" t="str">
        <f>'Planeación y Costo ✓'!C21</f>
        <v>1.3 Asignacion de actividades</v>
      </c>
      <c r="B10" s="75">
        <f>'Planeación y Costo ✓'!D21</f>
        <v>45871</v>
      </c>
      <c r="C10" s="75">
        <f>'Planeación y Costo ✓'!E21</f>
        <v>45871</v>
      </c>
      <c r="D10" s="76">
        <f>'Planeación y Costo ✓'!F21</f>
        <v>8</v>
      </c>
      <c r="E10" s="79"/>
      <c r="F10" s="220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7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7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7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7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7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7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7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7"/>
      <c r="EK10" s="79"/>
      <c r="EL10" s="79"/>
      <c r="EM10" s="79"/>
      <c r="EN10" s="79"/>
      <c r="EO10" s="79"/>
      <c r="EP10" s="79"/>
      <c r="EQ10" s="79"/>
      <c r="ER10" s="79"/>
      <c r="ES10" s="79"/>
      <c r="ET10" s="79"/>
      <c r="EU10" s="79"/>
      <c r="EV10" s="79"/>
      <c r="EW10" s="79"/>
      <c r="EX10" s="79"/>
      <c r="EY10" s="79"/>
      <c r="EZ10" s="79"/>
      <c r="FA10" s="211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/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/>
      <c r="NG10" s="65"/>
      <c r="NH10" s="65"/>
      <c r="NI10" s="65"/>
      <c r="NJ10" s="65"/>
      <c r="NK10" s="65"/>
      <c r="NL10" s="65"/>
      <c r="NM10" s="65"/>
      <c r="NN10" s="65"/>
      <c r="NO10" s="65"/>
      <c r="NP10" s="65"/>
      <c r="NQ10" s="65"/>
      <c r="NR10" s="62"/>
      <c r="NS10" s="62"/>
      <c r="NT10" s="62"/>
      <c r="NU10" s="62"/>
    </row>
    <row r="11" spans="1:385" ht="15" customHeight="1">
      <c r="A11" s="700" t="s">
        <v>182</v>
      </c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0"/>
      <c r="O11" s="700"/>
      <c r="P11" s="700"/>
      <c r="Q11" s="700"/>
      <c r="R11" s="700"/>
      <c r="S11" s="700"/>
      <c r="T11" s="700"/>
      <c r="U11" s="700"/>
      <c r="V11" s="700"/>
      <c r="W11" s="700"/>
      <c r="X11" s="700"/>
      <c r="Y11" s="700"/>
      <c r="Z11" s="700"/>
      <c r="AA11" s="700"/>
      <c r="AB11" s="700"/>
      <c r="AC11" s="700"/>
      <c r="AD11" s="700"/>
      <c r="AE11" s="700"/>
      <c r="AF11" s="700"/>
      <c r="AG11" s="700"/>
      <c r="AH11" s="700"/>
      <c r="AI11" s="700"/>
      <c r="AJ11" s="700"/>
      <c r="AK11" s="700"/>
      <c r="AL11" s="700"/>
      <c r="AM11" s="700"/>
      <c r="AN11" s="700"/>
      <c r="AO11" s="700"/>
      <c r="AP11" s="700"/>
      <c r="AQ11" s="700"/>
      <c r="AR11" s="700"/>
      <c r="AS11" s="700"/>
      <c r="AT11" s="700"/>
      <c r="AU11" s="700"/>
      <c r="AV11" s="700"/>
      <c r="AW11" s="700"/>
      <c r="AX11" s="700"/>
      <c r="AY11" s="700"/>
      <c r="AZ11" s="700"/>
      <c r="BA11" s="700"/>
      <c r="BB11" s="700"/>
      <c r="BC11" s="700"/>
      <c r="BD11" s="700"/>
      <c r="BE11" s="700"/>
      <c r="BF11" s="700"/>
      <c r="BG11" s="700"/>
      <c r="BH11" s="700"/>
      <c r="BI11" s="700"/>
      <c r="BJ11" s="700"/>
      <c r="BK11" s="700"/>
      <c r="BL11" s="700"/>
      <c r="BM11" s="700"/>
      <c r="BN11" s="700"/>
      <c r="BO11" s="700"/>
      <c r="BP11" s="700"/>
      <c r="BQ11" s="700"/>
      <c r="BR11" s="700"/>
      <c r="BS11" s="700"/>
      <c r="BT11" s="700"/>
      <c r="BU11" s="700"/>
      <c r="BV11" s="700"/>
      <c r="BW11" s="700"/>
      <c r="BX11" s="700"/>
      <c r="BY11" s="700"/>
      <c r="BZ11" s="700"/>
      <c r="CA11" s="700"/>
      <c r="CB11" s="700"/>
      <c r="CC11" s="700"/>
      <c r="CD11" s="700"/>
      <c r="CE11" s="700"/>
      <c r="CF11" s="700"/>
      <c r="CG11" s="700"/>
      <c r="CH11" s="700"/>
      <c r="CI11" s="700"/>
      <c r="CJ11" s="700"/>
      <c r="CK11" s="700"/>
      <c r="CL11" s="700"/>
      <c r="CM11" s="700"/>
      <c r="CN11" s="700"/>
      <c r="CO11" s="700"/>
      <c r="CP11" s="700"/>
      <c r="CQ11" s="700"/>
      <c r="CR11" s="700"/>
      <c r="CS11" s="700"/>
      <c r="CT11" s="700"/>
      <c r="CU11" s="700"/>
      <c r="CV11" s="700"/>
      <c r="CW11" s="700"/>
      <c r="CX11" s="700"/>
      <c r="CY11" s="700"/>
      <c r="CZ11" s="700"/>
      <c r="DA11" s="700"/>
      <c r="DB11" s="700"/>
      <c r="DC11" s="700"/>
      <c r="DD11" s="700"/>
      <c r="DE11" s="700"/>
      <c r="DF11" s="700"/>
      <c r="DG11" s="700"/>
      <c r="DH11" s="700"/>
      <c r="DI11" s="700"/>
      <c r="DJ11" s="700"/>
      <c r="DK11" s="700"/>
      <c r="DL11" s="700"/>
      <c r="DM11" s="700"/>
      <c r="DN11" s="700"/>
      <c r="DO11" s="700"/>
      <c r="DP11" s="700"/>
      <c r="DQ11" s="700"/>
      <c r="DR11" s="700"/>
      <c r="DS11" s="700"/>
      <c r="DT11" s="700"/>
      <c r="DU11" s="700"/>
      <c r="DV11" s="700"/>
      <c r="DW11" s="700"/>
      <c r="DX11" s="700"/>
      <c r="DY11" s="700"/>
      <c r="DZ11" s="700"/>
      <c r="EA11" s="700"/>
      <c r="EB11" s="700"/>
      <c r="EC11" s="700"/>
      <c r="ED11" s="700"/>
      <c r="EE11" s="700"/>
      <c r="EF11" s="700"/>
      <c r="EG11" s="700"/>
      <c r="EH11" s="700"/>
      <c r="EI11" s="700"/>
      <c r="EJ11" s="700"/>
      <c r="EK11" s="700"/>
      <c r="EL11" s="700"/>
      <c r="EM11" s="700"/>
      <c r="EN11" s="700"/>
      <c r="EO11" s="700"/>
      <c r="EP11" s="700"/>
      <c r="EQ11" s="700"/>
      <c r="ER11" s="700"/>
      <c r="ES11" s="700"/>
      <c r="ET11" s="700"/>
      <c r="EU11" s="700"/>
      <c r="EV11" s="700"/>
      <c r="EW11" s="700"/>
      <c r="EX11" s="700"/>
      <c r="EY11" s="700"/>
      <c r="EZ11" s="700"/>
      <c r="FA11" s="701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/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/>
      <c r="NG11" s="65"/>
      <c r="NH11" s="65"/>
      <c r="NI11" s="65"/>
      <c r="NJ11" s="65"/>
      <c r="NK11" s="65"/>
      <c r="NL11" s="65"/>
      <c r="NM11" s="65"/>
      <c r="NN11" s="65"/>
      <c r="NO11" s="65"/>
      <c r="NP11" s="65"/>
      <c r="NQ11" s="65"/>
      <c r="NR11" s="62"/>
      <c r="NS11" s="62"/>
      <c r="NT11" s="62"/>
      <c r="NU11" s="62"/>
    </row>
    <row r="12" spans="1:385" ht="33" customHeight="1">
      <c r="A12" s="685" t="s">
        <v>183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 s="685"/>
      <c r="P12" s="685"/>
      <c r="Q12" s="685"/>
      <c r="R12" s="685"/>
      <c r="S12" s="685"/>
      <c r="T12" s="685"/>
      <c r="U12" s="685"/>
      <c r="V12" s="685"/>
      <c r="W12" s="685"/>
      <c r="X12" s="685"/>
      <c r="Y12" s="685"/>
      <c r="Z12" s="685"/>
      <c r="AA12" s="685"/>
      <c r="AB12" s="685"/>
      <c r="AC12" s="685"/>
      <c r="AD12" s="685"/>
      <c r="AE12" s="685"/>
      <c r="AF12" s="685"/>
      <c r="AG12" s="685"/>
      <c r="AH12" s="685"/>
      <c r="AI12" s="685"/>
      <c r="AJ12" s="685"/>
      <c r="AK12" s="68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5"/>
      <c r="BW12" s="685"/>
      <c r="BX12" s="685"/>
      <c r="BY12" s="685"/>
      <c r="BZ12" s="685"/>
      <c r="CA12" s="685"/>
      <c r="CB12" s="685"/>
      <c r="CC12" s="685"/>
      <c r="CD12" s="685"/>
      <c r="CE12" s="685"/>
      <c r="CF12" s="685"/>
      <c r="CG12" s="685"/>
      <c r="CH12" s="685"/>
      <c r="CI12" s="685"/>
      <c r="CJ12" s="685"/>
      <c r="CK12" s="685"/>
      <c r="CL12" s="685"/>
      <c r="CM12" s="685"/>
      <c r="CN12" s="685"/>
      <c r="CO12" s="685"/>
      <c r="CP12" s="685"/>
      <c r="CQ12" s="685"/>
      <c r="CR12" s="685"/>
      <c r="CS12" s="685"/>
      <c r="CT12" s="685"/>
      <c r="CU12" s="685"/>
      <c r="CV12" s="685"/>
      <c r="CW12" s="685"/>
      <c r="CX12" s="685"/>
      <c r="CY12" s="685"/>
      <c r="CZ12" s="685"/>
      <c r="DA12" s="685"/>
      <c r="DB12" s="685"/>
      <c r="DC12" s="685"/>
      <c r="DD12" s="685"/>
      <c r="DE12" s="685"/>
      <c r="DF12" s="685"/>
      <c r="DG12" s="685"/>
      <c r="DH12" s="685"/>
      <c r="DI12" s="685"/>
      <c r="DJ12" s="685"/>
      <c r="DK12" s="685"/>
      <c r="DL12" s="685"/>
      <c r="DM12" s="685"/>
      <c r="DN12" s="685"/>
      <c r="DO12" s="685"/>
      <c r="DP12" s="685"/>
      <c r="DQ12" s="685"/>
      <c r="DR12" s="685"/>
      <c r="DS12" s="685"/>
      <c r="DT12" s="685"/>
      <c r="DU12" s="685"/>
      <c r="DV12" s="685"/>
      <c r="DW12" s="685"/>
      <c r="DX12" s="685"/>
      <c r="DY12" s="685"/>
      <c r="DZ12" s="685"/>
      <c r="EA12" s="685"/>
      <c r="EB12" s="685"/>
      <c r="EC12" s="685"/>
      <c r="ED12" s="685"/>
      <c r="EE12" s="685"/>
      <c r="EF12" s="685"/>
      <c r="EG12" s="685"/>
      <c r="EH12" s="685"/>
      <c r="EI12" s="685"/>
      <c r="EJ12" s="685"/>
      <c r="EK12" s="685"/>
      <c r="EL12" s="685"/>
      <c r="EM12" s="685"/>
      <c r="EN12" s="685"/>
      <c r="EO12" s="685"/>
      <c r="EP12" s="685"/>
      <c r="EQ12" s="685"/>
      <c r="ER12" s="685"/>
      <c r="ES12" s="685"/>
      <c r="ET12" s="685"/>
      <c r="EU12" s="685"/>
      <c r="EV12" s="685"/>
      <c r="EW12" s="685"/>
      <c r="EX12" s="685"/>
      <c r="EY12" s="685"/>
      <c r="EZ12" s="685"/>
      <c r="FA12" s="686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65"/>
      <c r="JQ12" s="65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65"/>
      <c r="KR12" s="65"/>
      <c r="KS12" s="65"/>
      <c r="KT12" s="65"/>
      <c r="KU12" s="65"/>
      <c r="KV12" s="65"/>
      <c r="KW12" s="65"/>
      <c r="KX12" s="65"/>
      <c r="KY12" s="65"/>
      <c r="KZ12" s="65"/>
      <c r="LA12" s="65"/>
      <c r="LB12" s="65"/>
      <c r="LC12" s="65"/>
      <c r="LD12" s="65"/>
      <c r="LE12" s="65"/>
      <c r="LF12" s="65"/>
      <c r="LG12" s="65"/>
      <c r="LH12" s="65"/>
      <c r="LI12" s="65"/>
      <c r="LJ12" s="65"/>
      <c r="LK12" s="65"/>
      <c r="LL12" s="65"/>
      <c r="LM12" s="65"/>
      <c r="LN12" s="65"/>
      <c r="LO12" s="65"/>
      <c r="LP12" s="65"/>
      <c r="LQ12" s="65"/>
      <c r="LR12" s="65"/>
      <c r="LS12" s="65"/>
      <c r="LT12" s="65"/>
      <c r="LU12" s="65"/>
      <c r="LV12" s="65"/>
      <c r="LW12" s="65"/>
      <c r="LX12" s="65"/>
      <c r="LY12" s="65"/>
      <c r="LZ12" s="65"/>
      <c r="MA12" s="65"/>
      <c r="MB12" s="65"/>
      <c r="MC12" s="65"/>
      <c r="MD12" s="65"/>
      <c r="ME12" s="65"/>
      <c r="MF12" s="65"/>
      <c r="MG12" s="65"/>
      <c r="MH12" s="65"/>
      <c r="MI12" s="65"/>
      <c r="MJ12" s="65"/>
      <c r="MK12" s="65"/>
      <c r="ML12" s="65"/>
      <c r="MM12" s="65"/>
      <c r="MN12" s="65"/>
      <c r="MO12" s="65"/>
      <c r="MP12" s="65"/>
      <c r="MQ12" s="65"/>
      <c r="MR12" s="65"/>
      <c r="MS12" s="65"/>
      <c r="MT12" s="65"/>
      <c r="MU12" s="65"/>
      <c r="MV12" s="65"/>
      <c r="MW12" s="65"/>
      <c r="MX12" s="65"/>
      <c r="MY12" s="65"/>
      <c r="MZ12" s="65"/>
      <c r="NA12" s="65"/>
      <c r="NB12" s="65"/>
      <c r="NC12" s="65"/>
      <c r="ND12" s="65"/>
      <c r="NE12" s="65"/>
      <c r="NF12" s="65"/>
      <c r="NG12" s="65"/>
      <c r="NH12" s="65"/>
      <c r="NI12" s="65"/>
      <c r="NJ12" s="65"/>
      <c r="NK12" s="65"/>
      <c r="NL12" s="65"/>
      <c r="NM12" s="65"/>
      <c r="NN12" s="65"/>
      <c r="NO12" s="65"/>
      <c r="NP12" s="65"/>
      <c r="NQ12" s="65"/>
      <c r="NR12" s="62"/>
      <c r="NS12" s="62"/>
      <c r="NT12" s="62"/>
      <c r="NU12" s="62"/>
    </row>
    <row r="13" spans="1:385" s="61" customFormat="1" ht="14.25" customHeight="1">
      <c r="A13" s="80" t="str">
        <f>'Planeación y Costo ✓'!C25</f>
        <v>2.1.1. Análisis</v>
      </c>
      <c r="B13" s="80"/>
      <c r="C13" s="80"/>
      <c r="D13" s="81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2"/>
      <c r="FA13" s="82"/>
      <c r="FB13" s="66"/>
      <c r="FC13" s="66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6"/>
      <c r="FO13" s="66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6"/>
      <c r="HK13" s="66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  <c r="IR13" s="66"/>
      <c r="IS13" s="66"/>
      <c r="IT13" s="66"/>
      <c r="IU13" s="66"/>
      <c r="IV13" s="66"/>
      <c r="IW13" s="66"/>
      <c r="IX13" s="66"/>
      <c r="IY13" s="66"/>
      <c r="IZ13" s="66"/>
      <c r="JA13" s="66"/>
      <c r="JB13" s="66"/>
      <c r="JC13" s="66"/>
      <c r="JD13" s="66"/>
      <c r="JE13" s="66"/>
      <c r="JF13" s="66"/>
      <c r="JG13" s="66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  <c r="KZ13" s="66"/>
      <c r="LA13" s="66"/>
      <c r="LB13" s="66"/>
      <c r="LC13" s="66"/>
      <c r="LD13" s="66"/>
      <c r="LE13" s="66"/>
      <c r="LF13" s="66"/>
      <c r="LG13" s="66"/>
      <c r="LH13" s="66"/>
      <c r="LI13" s="66"/>
      <c r="LJ13" s="66"/>
      <c r="LK13" s="66"/>
      <c r="LL13" s="66"/>
      <c r="LM13" s="66"/>
      <c r="LN13" s="66"/>
      <c r="LO13" s="66"/>
      <c r="LP13" s="66"/>
      <c r="LQ13" s="66"/>
      <c r="LR13" s="66"/>
      <c r="LS13" s="66"/>
      <c r="LT13" s="66"/>
      <c r="LU13" s="66"/>
      <c r="LV13" s="66"/>
      <c r="LW13" s="66"/>
      <c r="LX13" s="66"/>
      <c r="LY13" s="66"/>
      <c r="LZ13" s="66"/>
      <c r="MA13" s="66"/>
      <c r="MB13" s="66"/>
      <c r="MC13" s="66"/>
      <c r="MD13" s="66"/>
      <c r="ME13" s="66"/>
      <c r="MF13" s="66"/>
      <c r="MG13" s="66"/>
      <c r="MH13" s="66"/>
      <c r="MI13" s="66"/>
      <c r="MJ13" s="66"/>
      <c r="MK13" s="66"/>
      <c r="ML13" s="66"/>
      <c r="MM13" s="66"/>
      <c r="MN13" s="66"/>
      <c r="MO13" s="66"/>
      <c r="MP13" s="66"/>
      <c r="MQ13" s="66"/>
      <c r="MR13" s="66"/>
      <c r="MS13" s="66"/>
      <c r="MT13" s="66"/>
      <c r="MU13" s="66"/>
      <c r="MV13" s="66"/>
      <c r="MW13" s="66"/>
      <c r="MX13" s="66"/>
      <c r="MY13" s="66"/>
      <c r="MZ13" s="66"/>
      <c r="NA13" s="66"/>
      <c r="NB13" s="66"/>
      <c r="NC13" s="66"/>
      <c r="ND13" s="66"/>
      <c r="NE13" s="66"/>
      <c r="NF13" s="66"/>
      <c r="NG13" s="66"/>
      <c r="NH13" s="66"/>
      <c r="NI13" s="66"/>
      <c r="NJ13" s="66"/>
      <c r="NK13" s="66"/>
      <c r="NL13" s="66"/>
      <c r="NM13" s="66"/>
      <c r="NN13" s="66"/>
      <c r="NO13" s="66"/>
      <c r="NP13" s="66"/>
      <c r="NQ13" s="66"/>
      <c r="NR13" s="63"/>
      <c r="NS13" s="63"/>
      <c r="NT13" s="63"/>
      <c r="NU13" s="63"/>
    </row>
    <row r="14" spans="1:385" ht="48.75" customHeight="1">
      <c r="A14" s="83" t="str">
        <f>'Planeación y Costo ✓'!C26</f>
        <v xml:space="preserve">2.1.1.1. Definición de los requerimientos funcionales y no funcionales del sistema.  </v>
      </c>
      <c r="B14" s="84">
        <f>'Planeación y Costo ✓'!D26</f>
        <v>45871</v>
      </c>
      <c r="C14" s="84">
        <f>'Planeación y Costo ✓'!E26</f>
        <v>45879</v>
      </c>
      <c r="D14" s="85">
        <f>'Planeación y Costo ✓'!F26</f>
        <v>56</v>
      </c>
      <c r="E14" s="86"/>
      <c r="F14" s="221"/>
      <c r="G14" s="221"/>
      <c r="H14" s="221"/>
      <c r="I14" s="221"/>
      <c r="J14" s="221"/>
      <c r="K14" s="221"/>
      <c r="L14" s="221"/>
      <c r="M14" s="221"/>
      <c r="N14" s="221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6"/>
      <c r="EI14" s="86"/>
      <c r="EJ14" s="86"/>
      <c r="EK14" s="86"/>
      <c r="EL14" s="86"/>
      <c r="EM14" s="86"/>
      <c r="EN14" s="86"/>
      <c r="EO14" s="8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65"/>
      <c r="JQ14" s="65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5"/>
      <c r="KW14" s="65"/>
      <c r="KX14" s="65"/>
      <c r="KY14" s="65"/>
      <c r="KZ14" s="65"/>
      <c r="LA14" s="65"/>
      <c r="LB14" s="65"/>
      <c r="LC14" s="65"/>
      <c r="LD14" s="65"/>
      <c r="LE14" s="65"/>
      <c r="LF14" s="65"/>
      <c r="LG14" s="65"/>
      <c r="LH14" s="65"/>
      <c r="LI14" s="65"/>
      <c r="LJ14" s="65"/>
      <c r="LK14" s="65"/>
      <c r="LL14" s="65"/>
      <c r="LM14" s="65"/>
      <c r="LN14" s="65"/>
      <c r="LO14" s="65"/>
      <c r="LP14" s="65"/>
      <c r="LQ14" s="65"/>
      <c r="LR14" s="65"/>
      <c r="LS14" s="65"/>
      <c r="LT14" s="65"/>
      <c r="LU14" s="65"/>
      <c r="LV14" s="65"/>
      <c r="LW14" s="65"/>
      <c r="LX14" s="65"/>
      <c r="LY14" s="65"/>
      <c r="LZ14" s="65"/>
      <c r="MA14" s="65"/>
      <c r="MB14" s="65"/>
      <c r="MC14" s="65"/>
      <c r="MD14" s="65"/>
      <c r="ME14" s="65"/>
      <c r="MF14" s="65"/>
      <c r="MG14" s="65"/>
      <c r="MH14" s="65"/>
      <c r="MI14" s="65"/>
      <c r="MJ14" s="65"/>
      <c r="MK14" s="65"/>
      <c r="ML14" s="65"/>
      <c r="MM14" s="65"/>
      <c r="MN14" s="65"/>
      <c r="MO14" s="65"/>
      <c r="MP14" s="65"/>
      <c r="MQ14" s="65"/>
      <c r="MR14" s="65"/>
      <c r="MS14" s="65"/>
      <c r="MT14" s="65"/>
      <c r="MU14" s="65"/>
      <c r="MV14" s="65"/>
      <c r="MW14" s="65"/>
      <c r="MX14" s="65"/>
      <c r="MY14" s="65"/>
      <c r="MZ14" s="65"/>
      <c r="NA14" s="65"/>
      <c r="NB14" s="65"/>
      <c r="NC14" s="65"/>
      <c r="ND14" s="65"/>
      <c r="NE14" s="65"/>
      <c r="NF14" s="65"/>
      <c r="NG14" s="65"/>
      <c r="NH14" s="65"/>
      <c r="NI14" s="65"/>
      <c r="NJ14" s="65"/>
      <c r="NK14" s="65"/>
      <c r="NL14" s="65"/>
      <c r="NM14" s="65"/>
      <c r="NN14" s="65"/>
      <c r="NO14" s="65"/>
      <c r="NP14" s="65"/>
      <c r="NQ14" s="65"/>
      <c r="NR14" s="62"/>
      <c r="NS14" s="62"/>
      <c r="NT14" s="62"/>
      <c r="NU14" s="62"/>
    </row>
    <row r="15" spans="1:385" ht="62.25" customHeight="1">
      <c r="A15" s="83" t="str">
        <f>'Planeación y Costo ✓'!C27</f>
        <v>2.1.1.2. Investigación de referentes.  (ej: Coursera, edX, simuladores como Cisco Packet Tracer).</v>
      </c>
      <c r="B15" s="84">
        <f>'Planeación y Costo ✓'!D27</f>
        <v>45879</v>
      </c>
      <c r="C15" s="84">
        <f>'Planeación y Costo ✓'!E27</f>
        <v>45886</v>
      </c>
      <c r="D15" s="85">
        <f>'Planeación y Costo ✓'!F27</f>
        <v>48</v>
      </c>
      <c r="E15" s="86"/>
      <c r="F15" s="109"/>
      <c r="G15" s="109"/>
      <c r="H15" s="109"/>
      <c r="I15" s="109"/>
      <c r="J15" s="109"/>
      <c r="K15" s="109"/>
      <c r="L15" s="109"/>
      <c r="M15" s="109"/>
      <c r="N15" s="221"/>
      <c r="O15" s="221"/>
      <c r="P15" s="221"/>
      <c r="Q15" s="221"/>
      <c r="R15" s="221"/>
      <c r="S15" s="221"/>
      <c r="T15" s="221"/>
      <c r="U15" s="221"/>
      <c r="V15" s="109"/>
      <c r="W15" s="109"/>
      <c r="X15" s="109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6"/>
      <c r="EI15" s="86"/>
      <c r="EJ15" s="86"/>
      <c r="EK15" s="86"/>
      <c r="EL15" s="86"/>
      <c r="EM15" s="86"/>
      <c r="EN15" s="86"/>
      <c r="EO15" s="8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  <c r="JM15" s="65"/>
      <c r="JN15" s="65"/>
      <c r="JO15" s="65"/>
      <c r="JP15" s="65"/>
      <c r="JQ15" s="65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65"/>
      <c r="KR15" s="65"/>
      <c r="KS15" s="65"/>
      <c r="KT15" s="65"/>
      <c r="KU15" s="65"/>
      <c r="KV15" s="65"/>
      <c r="KW15" s="65"/>
      <c r="KX15" s="65"/>
      <c r="KY15" s="65"/>
      <c r="KZ15" s="65"/>
      <c r="LA15" s="65"/>
      <c r="LB15" s="65"/>
      <c r="LC15" s="65"/>
      <c r="LD15" s="65"/>
      <c r="LE15" s="65"/>
      <c r="LF15" s="65"/>
      <c r="LG15" s="65"/>
      <c r="LH15" s="65"/>
      <c r="LI15" s="65"/>
      <c r="LJ15" s="65"/>
      <c r="LK15" s="65"/>
      <c r="LL15" s="65"/>
      <c r="LM15" s="65"/>
      <c r="LN15" s="65"/>
      <c r="LO15" s="65"/>
      <c r="LP15" s="65"/>
      <c r="LQ15" s="65"/>
      <c r="LR15" s="65"/>
      <c r="LS15" s="65"/>
      <c r="LT15" s="65"/>
      <c r="LU15" s="65"/>
      <c r="LV15" s="65"/>
      <c r="LW15" s="65"/>
      <c r="LX15" s="65"/>
      <c r="LY15" s="65"/>
      <c r="LZ15" s="65"/>
      <c r="MA15" s="65"/>
      <c r="MB15" s="65"/>
      <c r="MC15" s="65"/>
      <c r="MD15" s="65"/>
      <c r="ME15" s="65"/>
      <c r="MF15" s="65"/>
      <c r="MG15" s="65"/>
      <c r="MH15" s="65"/>
      <c r="MI15" s="65"/>
      <c r="MJ15" s="65"/>
      <c r="MK15" s="65"/>
      <c r="ML15" s="65"/>
      <c r="MM15" s="65"/>
      <c r="MN15" s="65"/>
      <c r="MO15" s="65"/>
      <c r="MP15" s="65"/>
      <c r="MQ15" s="65"/>
      <c r="MR15" s="65"/>
      <c r="MS15" s="65"/>
      <c r="MT15" s="65"/>
      <c r="MU15" s="65"/>
      <c r="MV15" s="65"/>
      <c r="MW15" s="65"/>
      <c r="MX15" s="65"/>
      <c r="MY15" s="65"/>
      <c r="MZ15" s="65"/>
      <c r="NA15" s="65"/>
      <c r="NB15" s="65"/>
      <c r="NC15" s="65"/>
      <c r="ND15" s="65"/>
      <c r="NE15" s="65"/>
      <c r="NF15" s="65"/>
      <c r="NG15" s="65"/>
      <c r="NH15" s="65"/>
      <c r="NI15" s="65"/>
      <c r="NJ15" s="65"/>
      <c r="NK15" s="65"/>
      <c r="NL15" s="65"/>
      <c r="NM15" s="65"/>
      <c r="NN15" s="65"/>
      <c r="NO15" s="65"/>
      <c r="NP15" s="65"/>
      <c r="NQ15" s="65"/>
      <c r="NR15" s="62"/>
      <c r="NS15" s="62"/>
      <c r="NT15" s="62"/>
      <c r="NU15" s="62"/>
    </row>
    <row r="16" spans="1:385" ht="63" customHeight="1">
      <c r="A16" s="83" t="str">
        <f>'Planeación y Costo ✓'!C28</f>
        <v xml:space="preserve">2.1.1.3 Listado de temas críticos en hardware y software (ej: arquitectura Von Neumann, ensamblaje de PCs, IoT).
</v>
      </c>
      <c r="B16" s="84">
        <f>'Planeación y Costo ✓'!D28</f>
        <v>45886</v>
      </c>
      <c r="C16" s="84">
        <f>'Planeación y Costo ✓'!E28</f>
        <v>45889</v>
      </c>
      <c r="D16" s="85">
        <f>'Planeación y Costo ✓'!F28</f>
        <v>24</v>
      </c>
      <c r="E16" s="86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221"/>
      <c r="V16" s="221"/>
      <c r="W16" s="221"/>
      <c r="X16" s="221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6"/>
      <c r="EI16" s="86"/>
      <c r="EJ16" s="86"/>
      <c r="EK16" s="86"/>
      <c r="EL16" s="86"/>
      <c r="EM16" s="86"/>
      <c r="EN16" s="86"/>
      <c r="EO16" s="8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65"/>
      <c r="FC16" s="62"/>
      <c r="FD16" s="62"/>
      <c r="FE16" s="62"/>
      <c r="FF16" s="62"/>
      <c r="FG16" s="62"/>
      <c r="FH16" s="62"/>
      <c r="FI16" s="62"/>
      <c r="FJ16" s="62"/>
      <c r="FK16" s="62"/>
      <c r="FL16" s="62"/>
      <c r="FM16" s="62"/>
      <c r="FN16" s="62"/>
      <c r="FO16" s="62"/>
      <c r="FP16" s="62"/>
      <c r="FQ16" s="62"/>
      <c r="FR16" s="62"/>
      <c r="FS16" s="62"/>
      <c r="FT16" s="62"/>
      <c r="FU16" s="62"/>
      <c r="FV16" s="62"/>
      <c r="FW16" s="62"/>
      <c r="FX16" s="62"/>
      <c r="FY16" s="62"/>
      <c r="FZ16" s="62"/>
      <c r="GA16" s="62"/>
      <c r="GB16" s="62"/>
      <c r="GC16" s="62"/>
      <c r="GD16" s="62"/>
      <c r="GE16" s="62"/>
      <c r="GF16" s="62"/>
      <c r="GG16" s="62"/>
      <c r="GH16" s="62"/>
      <c r="GI16" s="62"/>
      <c r="GJ16" s="62"/>
      <c r="GK16" s="62"/>
      <c r="GL16" s="62"/>
      <c r="GM16" s="62"/>
      <c r="GN16" s="62"/>
      <c r="GO16" s="62"/>
      <c r="GP16" s="62"/>
      <c r="GQ16" s="62"/>
      <c r="GR16" s="62"/>
      <c r="GS16" s="62"/>
      <c r="GT16" s="62"/>
      <c r="GU16" s="62"/>
      <c r="GV16" s="62"/>
      <c r="GW16" s="62"/>
      <c r="GX16" s="62"/>
      <c r="GY16" s="62"/>
      <c r="GZ16" s="62"/>
      <c r="HA16" s="62"/>
      <c r="HB16" s="62"/>
      <c r="HC16" s="62"/>
      <c r="HD16" s="62"/>
      <c r="HE16" s="62"/>
      <c r="HF16" s="62"/>
      <c r="HG16" s="62"/>
      <c r="HH16" s="62"/>
      <c r="HI16" s="62"/>
      <c r="HJ16" s="62"/>
      <c r="HK16" s="62"/>
      <c r="HL16" s="62"/>
      <c r="HM16" s="62"/>
      <c r="HN16" s="62"/>
      <c r="HO16" s="62"/>
      <c r="HP16" s="62"/>
      <c r="HQ16" s="62"/>
      <c r="HR16" s="62"/>
      <c r="HS16" s="62"/>
      <c r="HT16" s="62"/>
      <c r="HU16" s="62"/>
      <c r="HV16" s="62"/>
      <c r="HW16" s="62"/>
      <c r="HX16" s="62"/>
      <c r="HY16" s="62"/>
      <c r="HZ16" s="62"/>
      <c r="IA16" s="62"/>
      <c r="IB16" s="62"/>
      <c r="IC16" s="62"/>
      <c r="ID16" s="62"/>
      <c r="IE16" s="62"/>
      <c r="IF16" s="62"/>
      <c r="IG16" s="62"/>
      <c r="IH16" s="62"/>
      <c r="II16" s="62"/>
      <c r="IJ16" s="62"/>
      <c r="IK16" s="62"/>
      <c r="IL16" s="62"/>
      <c r="IM16" s="62"/>
      <c r="IN16" s="62"/>
      <c r="IO16" s="62"/>
      <c r="IP16" s="62"/>
      <c r="IQ16" s="62"/>
      <c r="IR16" s="62"/>
      <c r="IS16" s="62"/>
      <c r="IT16" s="62"/>
      <c r="IU16" s="62"/>
      <c r="IV16" s="62"/>
      <c r="IW16" s="62"/>
      <c r="IX16" s="62"/>
      <c r="IY16" s="62"/>
      <c r="IZ16" s="62"/>
      <c r="JA16" s="62"/>
      <c r="JB16" s="62"/>
      <c r="JC16" s="62"/>
      <c r="JD16" s="62"/>
      <c r="JE16" s="62"/>
      <c r="JF16" s="62"/>
      <c r="JG16" s="62"/>
      <c r="JH16" s="62"/>
      <c r="JI16" s="62"/>
      <c r="JJ16" s="62"/>
      <c r="JK16" s="62"/>
      <c r="JL16" s="62"/>
      <c r="JM16" s="62"/>
      <c r="JN16" s="62"/>
      <c r="JO16" s="62"/>
      <c r="JP16" s="62"/>
      <c r="JQ16" s="62"/>
      <c r="JR16" s="62"/>
      <c r="JS16" s="62"/>
      <c r="JT16" s="62"/>
      <c r="JU16" s="62"/>
      <c r="JV16" s="62"/>
      <c r="JW16" s="62"/>
      <c r="JX16" s="62"/>
      <c r="JY16" s="62"/>
      <c r="JZ16" s="62"/>
      <c r="KA16" s="62"/>
      <c r="KB16" s="62"/>
      <c r="KC16" s="62"/>
      <c r="KD16" s="62"/>
      <c r="KE16" s="62"/>
      <c r="KF16" s="62"/>
      <c r="KG16" s="62"/>
      <c r="KH16" s="62"/>
      <c r="KI16" s="62"/>
      <c r="KJ16" s="62"/>
      <c r="KK16" s="62"/>
      <c r="KL16" s="62"/>
      <c r="KM16" s="62"/>
      <c r="KN16" s="62"/>
      <c r="KO16" s="62"/>
      <c r="KP16" s="62"/>
      <c r="KQ16" s="62"/>
      <c r="KR16" s="62"/>
      <c r="KS16" s="62"/>
      <c r="KT16" s="62"/>
      <c r="KU16" s="62"/>
      <c r="KV16" s="62"/>
      <c r="KW16" s="62"/>
      <c r="KX16" s="62"/>
      <c r="KY16" s="62"/>
      <c r="KZ16" s="62"/>
      <c r="LA16" s="62"/>
      <c r="LB16" s="62"/>
      <c r="LC16" s="62"/>
      <c r="LD16" s="62"/>
      <c r="LE16" s="62"/>
      <c r="LF16" s="62"/>
      <c r="LG16" s="62"/>
      <c r="LH16" s="62"/>
      <c r="LI16" s="62"/>
      <c r="LJ16" s="62"/>
      <c r="LK16" s="62"/>
      <c r="LL16" s="62"/>
      <c r="LM16" s="62"/>
      <c r="LN16" s="62"/>
      <c r="LO16" s="62"/>
      <c r="LP16" s="62"/>
      <c r="LQ16" s="62"/>
      <c r="LR16" s="62"/>
      <c r="LS16" s="62"/>
      <c r="LT16" s="62"/>
      <c r="LU16" s="62"/>
      <c r="LV16" s="62"/>
      <c r="LW16" s="62"/>
      <c r="LX16" s="62"/>
      <c r="LY16" s="62"/>
      <c r="LZ16" s="62"/>
      <c r="MA16" s="62"/>
      <c r="MB16" s="62"/>
      <c r="MC16" s="62"/>
      <c r="MD16" s="62"/>
      <c r="ME16" s="62"/>
      <c r="MF16" s="62"/>
      <c r="MG16" s="62"/>
      <c r="MH16" s="62"/>
      <c r="MI16" s="62"/>
      <c r="MJ16" s="62"/>
      <c r="MK16" s="62"/>
      <c r="ML16" s="62"/>
      <c r="MM16" s="62"/>
      <c r="MN16" s="62"/>
      <c r="MO16" s="62"/>
      <c r="MP16" s="62"/>
      <c r="MQ16" s="62"/>
      <c r="MR16" s="62"/>
      <c r="MS16" s="62"/>
      <c r="MT16" s="62"/>
      <c r="MU16" s="62"/>
      <c r="MV16" s="62"/>
      <c r="MW16" s="62"/>
      <c r="MX16" s="62"/>
      <c r="MY16" s="62"/>
      <c r="MZ16" s="62"/>
      <c r="NA16" s="62"/>
      <c r="NB16" s="62"/>
      <c r="NC16" s="62"/>
      <c r="ND16" s="62"/>
      <c r="NE16" s="62"/>
      <c r="NF16" s="62"/>
      <c r="NG16" s="62"/>
      <c r="NH16" s="62"/>
      <c r="NI16" s="62"/>
      <c r="NJ16" s="62"/>
      <c r="NK16" s="62"/>
      <c r="NL16" s="62"/>
      <c r="NM16" s="62"/>
      <c r="NN16" s="62"/>
      <c r="NO16" s="62"/>
      <c r="NP16" s="62"/>
      <c r="NQ16" s="62"/>
      <c r="NR16" s="62"/>
      <c r="NS16" s="62"/>
      <c r="NT16" s="62"/>
      <c r="NU16" s="62"/>
    </row>
    <row r="17" spans="1:385" s="61" customFormat="1" ht="14.25" customHeight="1">
      <c r="A17" s="80" t="s">
        <v>184</v>
      </c>
      <c r="B17" s="80"/>
      <c r="C17" s="80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  <c r="DK17" s="82"/>
      <c r="DL17" s="82"/>
      <c r="DM17" s="82"/>
      <c r="DN17" s="82"/>
      <c r="DO17" s="82"/>
      <c r="DP17" s="82"/>
      <c r="DQ17" s="82"/>
      <c r="DR17" s="82"/>
      <c r="DS17" s="82"/>
      <c r="DT17" s="82"/>
      <c r="DU17" s="82"/>
      <c r="DV17" s="82"/>
      <c r="DW17" s="82"/>
      <c r="DX17" s="82"/>
      <c r="DY17" s="82"/>
      <c r="DZ17" s="82"/>
      <c r="EA17" s="82"/>
      <c r="EB17" s="82"/>
      <c r="EC17" s="82"/>
      <c r="ED17" s="82"/>
      <c r="EE17" s="82"/>
      <c r="EF17" s="82"/>
      <c r="EG17" s="82"/>
      <c r="EH17" s="82"/>
      <c r="EI17" s="82"/>
      <c r="EJ17" s="82"/>
      <c r="EK17" s="82"/>
      <c r="EL17" s="82"/>
      <c r="EM17" s="82"/>
      <c r="EN17" s="82"/>
      <c r="EO17" s="82"/>
      <c r="EP17" s="82"/>
      <c r="EQ17" s="82"/>
      <c r="ER17" s="82"/>
      <c r="ES17" s="82"/>
      <c r="ET17" s="82"/>
      <c r="EU17" s="82"/>
      <c r="EV17" s="82"/>
      <c r="EW17" s="82"/>
      <c r="EX17" s="82"/>
      <c r="EY17" s="82"/>
      <c r="EZ17" s="82"/>
      <c r="FA17" s="82"/>
      <c r="FB17" s="66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63"/>
      <c r="JE17" s="63"/>
      <c r="JF17" s="63"/>
      <c r="JG17" s="63"/>
      <c r="JH17" s="63"/>
      <c r="JI17" s="63"/>
      <c r="JJ17" s="63"/>
      <c r="JK17" s="63"/>
      <c r="JL17" s="63"/>
      <c r="JM17" s="63"/>
      <c r="JN17" s="63"/>
      <c r="JO17" s="63"/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63"/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63"/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  <c r="MN17" s="63"/>
      <c r="MO17" s="63"/>
      <c r="MP17" s="63"/>
      <c r="MQ17" s="63"/>
      <c r="MR17" s="63"/>
      <c r="MS17" s="63"/>
      <c r="MT17" s="63"/>
      <c r="MU17" s="63"/>
      <c r="MV17" s="63"/>
      <c r="MW17" s="63"/>
      <c r="MX17" s="63"/>
      <c r="MY17" s="63"/>
      <c r="MZ17" s="63"/>
      <c r="NA17" s="63"/>
      <c r="NB17" s="63"/>
      <c r="NC17" s="63"/>
      <c r="ND17" s="63"/>
      <c r="NE17" s="63"/>
      <c r="NF17" s="63"/>
      <c r="NG17" s="63"/>
      <c r="NH17" s="63"/>
      <c r="NI17" s="63"/>
      <c r="NJ17" s="63"/>
      <c r="NK17" s="63"/>
      <c r="NL17" s="63"/>
      <c r="NM17" s="63"/>
      <c r="NN17" s="63"/>
      <c r="NO17" s="63"/>
      <c r="NP17" s="63"/>
      <c r="NQ17" s="63"/>
      <c r="NR17" s="63"/>
      <c r="NS17" s="63"/>
      <c r="NT17" s="63"/>
      <c r="NU17" s="63"/>
    </row>
    <row r="18" spans="1:385" ht="63.75" customHeight="1">
      <c r="A18" s="87" t="str">
        <f>'Planeación y Costo ✓'!C30</f>
        <v>2.1.2.1. Diseño de la arquitectura de la plataforma  y diagramas de flujo para interacciones clave.</v>
      </c>
      <c r="B18" s="84">
        <f>'Planeación y Costo ✓'!D30</f>
        <v>45890</v>
      </c>
      <c r="C18" s="84">
        <f>'Planeación y Costo ✓'!E30</f>
        <v>45897</v>
      </c>
      <c r="D18" s="85">
        <f>'Planeación y Costo ✓'!F30</f>
        <v>52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109"/>
      <c r="Y18" s="221"/>
      <c r="Z18" s="221"/>
      <c r="AA18" s="221"/>
      <c r="AB18" s="221"/>
      <c r="AC18" s="221"/>
      <c r="AD18" s="221"/>
      <c r="AE18" s="221"/>
      <c r="AF18" s="221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65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  <c r="IW18" s="62"/>
      <c r="IX18" s="62"/>
      <c r="IY18" s="62"/>
      <c r="IZ18" s="62"/>
      <c r="JA18" s="62"/>
      <c r="JB18" s="62"/>
      <c r="JC18" s="62"/>
      <c r="JD18" s="62"/>
      <c r="JE18" s="62"/>
      <c r="JF18" s="62"/>
      <c r="JG18" s="62"/>
      <c r="JH18" s="62"/>
      <c r="JI18" s="62"/>
      <c r="JJ18" s="62"/>
      <c r="JK18" s="62"/>
      <c r="JL18" s="62"/>
      <c r="JM18" s="62"/>
      <c r="JN18" s="62"/>
      <c r="JO18" s="62"/>
      <c r="JP18" s="62"/>
      <c r="JQ18" s="62"/>
      <c r="JR18" s="62"/>
      <c r="JS18" s="62"/>
      <c r="JT18" s="62"/>
      <c r="JU18" s="62"/>
      <c r="JV18" s="62"/>
      <c r="JW18" s="62"/>
      <c r="JX18" s="62"/>
      <c r="JY18" s="62"/>
      <c r="JZ18" s="62"/>
      <c r="KA18" s="62"/>
      <c r="KB18" s="62"/>
      <c r="KC18" s="62"/>
      <c r="KD18" s="62"/>
      <c r="KE18" s="62"/>
      <c r="KF18" s="62"/>
      <c r="KG18" s="62"/>
      <c r="KH18" s="62"/>
      <c r="KI18" s="62"/>
      <c r="KJ18" s="62"/>
      <c r="KK18" s="62"/>
      <c r="KL18" s="62"/>
      <c r="KM18" s="62"/>
      <c r="KN18" s="62"/>
      <c r="KO18" s="62"/>
      <c r="KP18" s="62"/>
      <c r="KQ18" s="62"/>
      <c r="KR18" s="62"/>
      <c r="KS18" s="62"/>
      <c r="KT18" s="62"/>
      <c r="KU18" s="62"/>
      <c r="KV18" s="62"/>
      <c r="KW18" s="62"/>
      <c r="KX18" s="62"/>
      <c r="KY18" s="62"/>
      <c r="KZ18" s="62"/>
      <c r="LA18" s="62"/>
      <c r="LB18" s="62"/>
      <c r="LC18" s="62"/>
      <c r="LD18" s="62"/>
      <c r="LE18" s="62"/>
      <c r="LF18" s="62"/>
      <c r="LG18" s="62"/>
      <c r="LH18" s="62"/>
      <c r="LI18" s="62"/>
      <c r="LJ18" s="62"/>
      <c r="LK18" s="62"/>
      <c r="LL18" s="62"/>
      <c r="LM18" s="62"/>
      <c r="LN18" s="62"/>
      <c r="LO18" s="62"/>
      <c r="LP18" s="62"/>
      <c r="LQ18" s="62"/>
      <c r="LR18" s="62"/>
      <c r="LS18" s="62"/>
      <c r="LT18" s="62"/>
      <c r="LU18" s="62"/>
      <c r="LV18" s="62"/>
      <c r="LW18" s="62"/>
      <c r="LX18" s="62"/>
      <c r="LY18" s="62"/>
      <c r="LZ18" s="62"/>
      <c r="MA18" s="62"/>
      <c r="MB18" s="62"/>
      <c r="MC18" s="62"/>
      <c r="MD18" s="62"/>
      <c r="ME18" s="62"/>
      <c r="MF18" s="62"/>
      <c r="MG18" s="62"/>
      <c r="MH18" s="62"/>
      <c r="MI18" s="62"/>
      <c r="MJ18" s="62"/>
      <c r="MK18" s="62"/>
      <c r="ML18" s="62"/>
      <c r="MM18" s="62"/>
      <c r="MN18" s="62"/>
      <c r="MO18" s="62"/>
      <c r="MP18" s="62"/>
      <c r="MQ18" s="62"/>
      <c r="MR18" s="62"/>
      <c r="MS18" s="62"/>
      <c r="MT18" s="62"/>
      <c r="MU18" s="62"/>
      <c r="MV18" s="62"/>
      <c r="MW18" s="62"/>
      <c r="MX18" s="62"/>
      <c r="MY18" s="62"/>
      <c r="MZ18" s="62"/>
      <c r="NA18" s="62"/>
      <c r="NB18" s="62"/>
      <c r="NC18" s="62"/>
      <c r="ND18" s="62"/>
      <c r="NE18" s="62"/>
      <c r="NF18" s="62"/>
      <c r="NG18" s="62"/>
      <c r="NH18" s="62"/>
      <c r="NI18" s="62"/>
      <c r="NJ18" s="62"/>
      <c r="NK18" s="62"/>
      <c r="NL18" s="62"/>
      <c r="NM18" s="62"/>
      <c r="NN18" s="62"/>
      <c r="NO18" s="62"/>
      <c r="NP18" s="62"/>
      <c r="NQ18" s="62"/>
      <c r="NR18" s="62"/>
      <c r="NS18" s="62"/>
      <c r="NT18" s="62"/>
      <c r="NU18" s="62"/>
    </row>
    <row r="19" spans="1:385" ht="51" customHeight="1">
      <c r="A19" s="87" t="str">
        <f>'Planeación y Costo ✓'!C31</f>
        <v>2.1.2.2. Creación de prototipos de interfaz enfocados en usabilidad para estudiantes, con herramientas como Figma.</v>
      </c>
      <c r="B19" s="84">
        <f>'Planeación y Costo ✓'!D31</f>
        <v>45897</v>
      </c>
      <c r="C19" s="84">
        <f>'Planeación y Costo ✓'!E31</f>
        <v>45905</v>
      </c>
      <c r="D19" s="85">
        <f>'Planeación y Costo ✓'!F31</f>
        <v>56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109"/>
      <c r="Y19" s="109"/>
      <c r="Z19" s="109"/>
      <c r="AA19" s="109"/>
      <c r="AB19" s="109"/>
      <c r="AC19" s="109"/>
      <c r="AD19" s="109"/>
      <c r="AE19" s="109"/>
      <c r="AF19" s="221"/>
      <c r="AG19" s="221"/>
      <c r="AH19" s="221"/>
      <c r="AI19" s="221"/>
      <c r="AJ19" s="221"/>
      <c r="AK19" s="221"/>
      <c r="AL19" s="221"/>
      <c r="AM19" s="221"/>
      <c r="AN19" s="221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65"/>
      <c r="FC19" s="62"/>
      <c r="FD19" s="62"/>
      <c r="FE19" s="62"/>
      <c r="FF19" s="62"/>
      <c r="FG19" s="62"/>
      <c r="FH19" s="62"/>
      <c r="FI19" s="62"/>
      <c r="FJ19" s="62"/>
      <c r="FK19" s="62"/>
      <c r="FL19" s="62"/>
      <c r="FM19" s="62"/>
      <c r="FN19" s="62"/>
      <c r="FO19" s="62"/>
      <c r="FP19" s="62"/>
      <c r="FQ19" s="62"/>
      <c r="FR19" s="62"/>
      <c r="FS19" s="62"/>
      <c r="FT19" s="62"/>
      <c r="FU19" s="62"/>
      <c r="FV19" s="62"/>
      <c r="FW19" s="62"/>
      <c r="FX19" s="62"/>
      <c r="FY19" s="62"/>
      <c r="FZ19" s="62"/>
      <c r="GA19" s="62"/>
      <c r="GB19" s="62"/>
      <c r="GC19" s="62"/>
      <c r="GD19" s="62"/>
      <c r="GE19" s="62"/>
      <c r="GF19" s="62"/>
      <c r="GG19" s="62"/>
      <c r="GH19" s="62"/>
      <c r="GI19" s="62"/>
      <c r="GJ19" s="62"/>
      <c r="GK19" s="62"/>
      <c r="GL19" s="62"/>
      <c r="GM19" s="62"/>
      <c r="GN19" s="62"/>
      <c r="GO19" s="62"/>
      <c r="GP19" s="62"/>
      <c r="GQ19" s="62"/>
      <c r="GR19" s="62"/>
      <c r="GS19" s="62"/>
      <c r="GT19" s="62"/>
      <c r="GU19" s="62"/>
      <c r="GV19" s="62"/>
      <c r="GW19" s="62"/>
      <c r="GX19" s="62"/>
      <c r="GY19" s="62"/>
      <c r="GZ19" s="62"/>
      <c r="HA19" s="62"/>
      <c r="HB19" s="62"/>
      <c r="HC19" s="62"/>
      <c r="HD19" s="62"/>
      <c r="HE19" s="62"/>
      <c r="HF19" s="62"/>
      <c r="HG19" s="62"/>
      <c r="HH19" s="62"/>
      <c r="HI19" s="62"/>
      <c r="HJ19" s="62"/>
      <c r="HK19" s="62"/>
      <c r="HL19" s="62"/>
      <c r="HM19" s="62"/>
      <c r="HN19" s="62"/>
      <c r="HO19" s="62"/>
      <c r="HP19" s="62"/>
      <c r="HQ19" s="62"/>
      <c r="HR19" s="62"/>
      <c r="HS19" s="62"/>
      <c r="HT19" s="62"/>
      <c r="HU19" s="62"/>
      <c r="HV19" s="62"/>
      <c r="HW19" s="62"/>
      <c r="HX19" s="62"/>
      <c r="HY19" s="62"/>
      <c r="HZ19" s="62"/>
      <c r="IA19" s="62"/>
      <c r="IB19" s="62"/>
      <c r="IC19" s="62"/>
      <c r="ID19" s="62"/>
      <c r="IE19" s="62"/>
      <c r="IF19" s="62"/>
      <c r="IG19" s="62"/>
      <c r="IH19" s="62"/>
      <c r="II19" s="62"/>
      <c r="IJ19" s="62"/>
      <c r="IK19" s="62"/>
      <c r="IL19" s="62"/>
      <c r="IM19" s="62"/>
      <c r="IN19" s="62"/>
      <c r="IO19" s="62"/>
      <c r="IP19" s="62"/>
      <c r="IQ19" s="62"/>
      <c r="IR19" s="62"/>
      <c r="IS19" s="62"/>
      <c r="IT19" s="62"/>
      <c r="IU19" s="62"/>
      <c r="IV19" s="62"/>
      <c r="IW19" s="62"/>
      <c r="IX19" s="62"/>
      <c r="IY19" s="62"/>
      <c r="IZ19" s="62"/>
      <c r="JA19" s="62"/>
      <c r="JB19" s="62"/>
      <c r="JC19" s="62"/>
      <c r="JD19" s="62"/>
      <c r="JE19" s="62"/>
      <c r="JF19" s="62"/>
      <c r="JG19" s="62"/>
      <c r="JH19" s="62"/>
      <c r="JI19" s="62"/>
      <c r="JJ19" s="62"/>
      <c r="JK19" s="62"/>
      <c r="JL19" s="62"/>
      <c r="JM19" s="62"/>
      <c r="JN19" s="62"/>
      <c r="JO19" s="62"/>
      <c r="JP19" s="62"/>
      <c r="JQ19" s="62"/>
      <c r="JR19" s="62"/>
      <c r="JS19" s="62"/>
      <c r="JT19" s="62"/>
      <c r="JU19" s="62"/>
      <c r="JV19" s="62"/>
      <c r="JW19" s="62"/>
      <c r="JX19" s="62"/>
      <c r="JY19" s="62"/>
      <c r="JZ19" s="62"/>
      <c r="KA19" s="62"/>
      <c r="KB19" s="62"/>
      <c r="KC19" s="62"/>
      <c r="KD19" s="62"/>
      <c r="KE19" s="62"/>
      <c r="KF19" s="62"/>
      <c r="KG19" s="62"/>
      <c r="KH19" s="62"/>
      <c r="KI19" s="62"/>
      <c r="KJ19" s="62"/>
      <c r="KK19" s="62"/>
      <c r="KL19" s="62"/>
      <c r="KM19" s="62"/>
      <c r="KN19" s="62"/>
      <c r="KO19" s="62"/>
      <c r="KP19" s="62"/>
      <c r="KQ19" s="62"/>
      <c r="KR19" s="62"/>
      <c r="KS19" s="62"/>
      <c r="KT19" s="62"/>
      <c r="KU19" s="62"/>
      <c r="KV19" s="62"/>
      <c r="KW19" s="62"/>
      <c r="KX19" s="62"/>
      <c r="KY19" s="62"/>
      <c r="KZ19" s="62"/>
      <c r="LA19" s="62"/>
      <c r="LB19" s="62"/>
      <c r="LC19" s="62"/>
      <c r="LD19" s="62"/>
      <c r="LE19" s="62"/>
      <c r="LF19" s="62"/>
      <c r="LG19" s="62"/>
      <c r="LH19" s="62"/>
      <c r="LI19" s="62"/>
      <c r="LJ19" s="62"/>
      <c r="LK19" s="62"/>
      <c r="LL19" s="62"/>
      <c r="LM19" s="62"/>
      <c r="LN19" s="62"/>
      <c r="LO19" s="62"/>
      <c r="LP19" s="62"/>
      <c r="LQ19" s="62"/>
      <c r="LR19" s="62"/>
      <c r="LS19" s="62"/>
      <c r="LT19" s="62"/>
      <c r="LU19" s="62"/>
      <c r="LV19" s="62"/>
      <c r="LW19" s="62"/>
      <c r="LX19" s="62"/>
      <c r="LY19" s="62"/>
      <c r="LZ19" s="62"/>
      <c r="MA19" s="62"/>
      <c r="MB19" s="62"/>
      <c r="MC19" s="62"/>
      <c r="MD19" s="62"/>
      <c r="ME19" s="62"/>
      <c r="MF19" s="62"/>
      <c r="MG19" s="62"/>
      <c r="MH19" s="62"/>
      <c r="MI19" s="62"/>
      <c r="MJ19" s="62"/>
      <c r="MK19" s="62"/>
      <c r="ML19" s="62"/>
      <c r="MM19" s="62"/>
      <c r="MN19" s="62"/>
      <c r="MO19" s="62"/>
      <c r="MP19" s="62"/>
      <c r="MQ19" s="62"/>
      <c r="MR19" s="62"/>
      <c r="MS19" s="62"/>
      <c r="MT19" s="62"/>
      <c r="MU19" s="62"/>
      <c r="MV19" s="62"/>
      <c r="MW19" s="62"/>
      <c r="MX19" s="62"/>
      <c r="MY19" s="62"/>
      <c r="MZ19" s="62"/>
      <c r="NA19" s="62"/>
      <c r="NB19" s="62"/>
      <c r="NC19" s="62"/>
      <c r="ND19" s="62"/>
      <c r="NE19" s="62"/>
      <c r="NF19" s="62"/>
      <c r="NG19" s="62"/>
      <c r="NH19" s="62"/>
      <c r="NI19" s="62"/>
      <c r="NJ19" s="62"/>
      <c r="NK19" s="62"/>
      <c r="NL19" s="62"/>
      <c r="NM19" s="62"/>
      <c r="NN19" s="62"/>
      <c r="NO19" s="62"/>
      <c r="NP19" s="62"/>
      <c r="NQ19" s="62"/>
      <c r="NR19" s="62"/>
      <c r="NS19" s="62"/>
      <c r="NT19" s="62"/>
      <c r="NU19" s="62"/>
    </row>
    <row r="20" spans="1:385" ht="81" customHeight="1">
      <c r="A20" s="87" t="str">
        <f>'Planeación y Costo ✓'!C32</f>
        <v>2.1.2.3. Diseño de módulos interactivos (ej: actividades como selección de palabras, cuestionarios, ejercicios para señalar partes de componentes, arrastrar y soltar, entre otras dinámicas prácticas).</v>
      </c>
      <c r="B20" s="84">
        <f>'Planeación y Costo ✓'!D32</f>
        <v>45905</v>
      </c>
      <c r="C20" s="84">
        <f>'Planeación y Costo ✓'!E32</f>
        <v>45920</v>
      </c>
      <c r="D20" s="85">
        <f>'Planeación y Costo ✓'!F32</f>
        <v>72</v>
      </c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86"/>
      <c r="Q20" s="86"/>
      <c r="R20" s="86"/>
      <c r="S20" s="86"/>
      <c r="T20" s="86"/>
      <c r="U20" s="86"/>
      <c r="V20" s="86"/>
      <c r="W20" s="86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1"/>
      <c r="AO20" s="221"/>
      <c r="AP20" s="221"/>
      <c r="AQ20" s="221"/>
      <c r="AR20" s="221"/>
      <c r="AS20" s="221"/>
      <c r="AT20" s="221"/>
      <c r="AU20" s="221"/>
      <c r="AV20" s="221"/>
      <c r="AW20" s="221"/>
      <c r="AX20" s="221"/>
      <c r="AY20" s="221"/>
      <c r="AZ20" s="228"/>
      <c r="BA20" s="228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  <c r="EG20" s="86"/>
      <c r="EH20" s="86"/>
      <c r="EI20" s="86"/>
      <c r="EJ20" s="86"/>
      <c r="EK20" s="86"/>
      <c r="EL20" s="86"/>
      <c r="EM20" s="86"/>
      <c r="EN20" s="86"/>
      <c r="EO20" s="8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65"/>
      <c r="FC20" s="62"/>
      <c r="FD20" s="62"/>
      <c r="FE20" s="62"/>
      <c r="FF20" s="62"/>
      <c r="FG20" s="62"/>
      <c r="FH20" s="62"/>
      <c r="FI20" s="62"/>
      <c r="FJ20" s="62"/>
      <c r="FK20" s="62"/>
      <c r="FL20" s="62"/>
      <c r="FM20" s="62"/>
      <c r="FN20" s="62"/>
      <c r="FO20" s="62"/>
      <c r="FP20" s="62"/>
      <c r="FQ20" s="62"/>
      <c r="FR20" s="62"/>
      <c r="FS20" s="62"/>
      <c r="FT20" s="62"/>
      <c r="FU20" s="62"/>
      <c r="FV20" s="62"/>
      <c r="FW20" s="62"/>
      <c r="FX20" s="62"/>
      <c r="FY20" s="62"/>
      <c r="FZ20" s="62"/>
      <c r="GA20" s="62"/>
      <c r="GB20" s="62"/>
      <c r="GC20" s="62"/>
      <c r="GD20" s="62"/>
      <c r="GE20" s="62"/>
      <c r="GF20" s="62"/>
      <c r="GG20" s="62"/>
      <c r="GH20" s="62"/>
      <c r="GI20" s="62"/>
      <c r="GJ20" s="62"/>
      <c r="GK20" s="62"/>
      <c r="GL20" s="62"/>
      <c r="GM20" s="62"/>
      <c r="GN20" s="62"/>
      <c r="GO20" s="62"/>
      <c r="GP20" s="62"/>
      <c r="GQ20" s="62"/>
      <c r="GR20" s="62"/>
      <c r="GS20" s="62"/>
      <c r="GT20" s="62"/>
      <c r="GU20" s="62"/>
      <c r="GV20" s="62"/>
      <c r="GW20" s="62"/>
      <c r="GX20" s="62"/>
      <c r="GY20" s="62"/>
      <c r="GZ20" s="62"/>
      <c r="HA20" s="62"/>
      <c r="HB20" s="62"/>
      <c r="HC20" s="62"/>
      <c r="HD20" s="62"/>
      <c r="HE20" s="62"/>
      <c r="HF20" s="62"/>
      <c r="HG20" s="62"/>
      <c r="HH20" s="62"/>
      <c r="HI20" s="62"/>
      <c r="HJ20" s="62"/>
      <c r="HK20" s="62"/>
      <c r="HL20" s="62"/>
      <c r="HM20" s="62"/>
      <c r="HN20" s="62"/>
      <c r="HO20" s="62"/>
      <c r="HP20" s="62"/>
      <c r="HQ20" s="62"/>
      <c r="HR20" s="62"/>
      <c r="HS20" s="62"/>
      <c r="HT20" s="62"/>
      <c r="HU20" s="62"/>
      <c r="HV20" s="62"/>
      <c r="HW20" s="62"/>
      <c r="HX20" s="62"/>
      <c r="HY20" s="62"/>
      <c r="HZ20" s="62"/>
      <c r="IA20" s="62"/>
      <c r="IB20" s="62"/>
      <c r="IC20" s="62"/>
      <c r="ID20" s="62"/>
      <c r="IE20" s="62"/>
      <c r="IF20" s="62"/>
      <c r="IG20" s="62"/>
      <c r="IH20" s="62"/>
      <c r="II20" s="62"/>
      <c r="IJ20" s="62"/>
      <c r="IK20" s="62"/>
      <c r="IL20" s="62"/>
      <c r="IM20" s="62"/>
      <c r="IN20" s="62"/>
      <c r="IO20" s="62"/>
      <c r="IP20" s="62"/>
      <c r="IQ20" s="62"/>
      <c r="IR20" s="62"/>
      <c r="IS20" s="62"/>
      <c r="IT20" s="62"/>
      <c r="IU20" s="62"/>
      <c r="IV20" s="62"/>
      <c r="IW20" s="62"/>
      <c r="IX20" s="62"/>
      <c r="IY20" s="62"/>
      <c r="IZ20" s="62"/>
      <c r="JA20" s="62"/>
      <c r="JB20" s="62"/>
      <c r="JC20" s="62"/>
      <c r="JD20" s="62"/>
      <c r="JE20" s="62"/>
      <c r="JF20" s="62"/>
      <c r="JG20" s="62"/>
      <c r="JH20" s="62"/>
      <c r="JI20" s="62"/>
      <c r="JJ20" s="62"/>
      <c r="JK20" s="62"/>
      <c r="JL20" s="62"/>
      <c r="JM20" s="62"/>
      <c r="JN20" s="62"/>
      <c r="JO20" s="62"/>
      <c r="JP20" s="62"/>
      <c r="JQ20" s="62"/>
      <c r="JR20" s="62"/>
      <c r="JS20" s="62"/>
      <c r="JT20" s="62"/>
      <c r="JU20" s="62"/>
      <c r="JV20" s="62"/>
      <c r="JW20" s="62"/>
      <c r="JX20" s="62"/>
      <c r="JY20" s="62"/>
      <c r="JZ20" s="62"/>
      <c r="KA20" s="62"/>
      <c r="KB20" s="62"/>
      <c r="KC20" s="62"/>
      <c r="KD20" s="62"/>
      <c r="KE20" s="62"/>
      <c r="KF20" s="62"/>
      <c r="KG20" s="62"/>
      <c r="KH20" s="62"/>
      <c r="KI20" s="62"/>
      <c r="KJ20" s="62"/>
      <c r="KK20" s="62"/>
      <c r="KL20" s="62"/>
      <c r="KM20" s="62"/>
      <c r="KN20" s="62"/>
      <c r="KO20" s="62"/>
      <c r="KP20" s="62"/>
      <c r="KQ20" s="62"/>
      <c r="KR20" s="62"/>
      <c r="KS20" s="62"/>
      <c r="KT20" s="62"/>
      <c r="KU20" s="62"/>
      <c r="KV20" s="62"/>
      <c r="KW20" s="62"/>
      <c r="KX20" s="62"/>
      <c r="KY20" s="62"/>
      <c r="KZ20" s="62"/>
      <c r="LA20" s="62"/>
      <c r="LB20" s="62"/>
      <c r="LC20" s="62"/>
      <c r="LD20" s="62"/>
      <c r="LE20" s="62"/>
      <c r="LF20" s="62"/>
      <c r="LG20" s="62"/>
      <c r="LH20" s="62"/>
      <c r="LI20" s="62"/>
      <c r="LJ20" s="62"/>
      <c r="LK20" s="62"/>
      <c r="LL20" s="62"/>
      <c r="LM20" s="62"/>
      <c r="LN20" s="62"/>
      <c r="LO20" s="62"/>
      <c r="LP20" s="62"/>
      <c r="LQ20" s="62"/>
      <c r="LR20" s="62"/>
      <c r="LS20" s="62"/>
      <c r="LT20" s="62"/>
      <c r="LU20" s="62"/>
      <c r="LV20" s="62"/>
      <c r="LW20" s="62"/>
      <c r="LX20" s="62"/>
      <c r="LY20" s="62"/>
      <c r="LZ20" s="62"/>
      <c r="MA20" s="62"/>
      <c r="MB20" s="62"/>
      <c r="MC20" s="62"/>
      <c r="MD20" s="62"/>
      <c r="ME20" s="62"/>
      <c r="MF20" s="62"/>
      <c r="MG20" s="62"/>
      <c r="MH20" s="62"/>
      <c r="MI20" s="62"/>
      <c r="MJ20" s="62"/>
      <c r="MK20" s="62"/>
      <c r="ML20" s="62"/>
      <c r="MM20" s="62"/>
      <c r="MN20" s="62"/>
      <c r="MO20" s="62"/>
      <c r="MP20" s="62"/>
      <c r="MQ20" s="62"/>
      <c r="MR20" s="62"/>
      <c r="MS20" s="62"/>
      <c r="MT20" s="62"/>
      <c r="MU20" s="62"/>
      <c r="MV20" s="62"/>
      <c r="MW20" s="62"/>
      <c r="MX20" s="62"/>
      <c r="MY20" s="62"/>
      <c r="MZ20" s="62"/>
      <c r="NA20" s="62"/>
      <c r="NB20" s="62"/>
      <c r="NC20" s="62"/>
      <c r="ND20" s="62"/>
      <c r="NE20" s="62"/>
      <c r="NF20" s="62"/>
      <c r="NG20" s="62"/>
      <c r="NH20" s="62"/>
      <c r="NI20" s="62"/>
      <c r="NJ20" s="62"/>
      <c r="NK20" s="62"/>
      <c r="NL20" s="62"/>
      <c r="NM20" s="62"/>
      <c r="NN20" s="62"/>
      <c r="NO20" s="62"/>
      <c r="NP20" s="62"/>
      <c r="NQ20" s="62"/>
      <c r="NR20" s="62"/>
      <c r="NS20" s="62"/>
      <c r="NT20" s="62"/>
      <c r="NU20" s="62"/>
    </row>
    <row r="21" spans="1:385" ht="33" customHeight="1">
      <c r="A21" s="685" t="s">
        <v>185</v>
      </c>
      <c r="B21" s="685"/>
      <c r="C21" s="685"/>
      <c r="D21" s="685"/>
      <c r="E21" s="685"/>
      <c r="F21" s="685"/>
      <c r="G21" s="685"/>
      <c r="H21" s="685"/>
      <c r="I21" s="685"/>
      <c r="J21" s="685"/>
      <c r="K21" s="685"/>
      <c r="L21" s="685"/>
      <c r="M21" s="685"/>
      <c r="N21" s="685"/>
      <c r="O21" s="685"/>
      <c r="P21" s="685"/>
      <c r="Q21" s="685"/>
      <c r="R21" s="685"/>
      <c r="S21" s="685"/>
      <c r="T21" s="685"/>
      <c r="U21" s="685"/>
      <c r="V21" s="685"/>
      <c r="W21" s="685"/>
      <c r="X21" s="685"/>
      <c r="Y21" s="685"/>
      <c r="Z21" s="685"/>
      <c r="AA21" s="685"/>
      <c r="AB21" s="685"/>
      <c r="AC21" s="685"/>
      <c r="AD21" s="685"/>
      <c r="AE21" s="685"/>
      <c r="AF21" s="685"/>
      <c r="AG21" s="685"/>
      <c r="AH21" s="685"/>
      <c r="AI21" s="685"/>
      <c r="AJ21" s="685"/>
      <c r="AK21" s="685"/>
      <c r="AL21" s="685"/>
      <c r="AM21" s="685"/>
      <c r="AN21" s="685"/>
      <c r="AO21" s="685"/>
      <c r="AP21" s="685"/>
      <c r="AQ21" s="685"/>
      <c r="AR21" s="685"/>
      <c r="AS21" s="685"/>
      <c r="AT21" s="685"/>
      <c r="AU21" s="685"/>
      <c r="AV21" s="685"/>
      <c r="AW21" s="685"/>
      <c r="AX21" s="685"/>
      <c r="AY21" s="685"/>
      <c r="AZ21" s="685"/>
      <c r="BA21" s="685"/>
      <c r="BB21" s="685"/>
      <c r="BC21" s="685"/>
      <c r="BD21" s="685"/>
      <c r="BE21" s="685"/>
      <c r="BF21" s="685"/>
      <c r="BG21" s="685"/>
      <c r="BH21" s="685"/>
      <c r="BI21" s="685"/>
      <c r="BJ21" s="685"/>
      <c r="BK21" s="685"/>
      <c r="BL21" s="685"/>
      <c r="BM21" s="685"/>
      <c r="BN21" s="685"/>
      <c r="BO21" s="685"/>
      <c r="BP21" s="685"/>
      <c r="BQ21" s="685"/>
      <c r="BR21" s="685"/>
      <c r="BS21" s="685"/>
      <c r="BT21" s="685"/>
      <c r="BU21" s="685"/>
      <c r="BV21" s="685"/>
      <c r="BW21" s="685"/>
      <c r="BX21" s="685"/>
      <c r="BY21" s="685"/>
      <c r="BZ21" s="685"/>
      <c r="CA21" s="685"/>
      <c r="CB21" s="685"/>
      <c r="CC21" s="685"/>
      <c r="CD21" s="685"/>
      <c r="CE21" s="685"/>
      <c r="CF21" s="685"/>
      <c r="CG21" s="685"/>
      <c r="CH21" s="685"/>
      <c r="CI21" s="685"/>
      <c r="CJ21" s="685"/>
      <c r="CK21" s="685"/>
      <c r="CL21" s="685"/>
      <c r="CM21" s="685"/>
      <c r="CN21" s="685"/>
      <c r="CO21" s="685"/>
      <c r="CP21" s="685"/>
      <c r="CQ21" s="685"/>
      <c r="CR21" s="685"/>
      <c r="CS21" s="685"/>
      <c r="CT21" s="685"/>
      <c r="CU21" s="685"/>
      <c r="CV21" s="685"/>
      <c r="CW21" s="685"/>
      <c r="CX21" s="685"/>
      <c r="CY21" s="685"/>
      <c r="CZ21" s="685"/>
      <c r="DA21" s="685"/>
      <c r="DB21" s="685"/>
      <c r="DC21" s="685"/>
      <c r="DD21" s="685"/>
      <c r="DE21" s="685"/>
      <c r="DF21" s="685"/>
      <c r="DG21" s="685"/>
      <c r="DH21" s="685"/>
      <c r="DI21" s="685"/>
      <c r="DJ21" s="685"/>
      <c r="DK21" s="685"/>
      <c r="DL21" s="685"/>
      <c r="DM21" s="685"/>
      <c r="DN21" s="685"/>
      <c r="DO21" s="685"/>
      <c r="DP21" s="685"/>
      <c r="DQ21" s="685"/>
      <c r="DR21" s="685"/>
      <c r="DS21" s="685"/>
      <c r="DT21" s="685"/>
      <c r="DU21" s="685"/>
      <c r="DV21" s="685"/>
      <c r="DW21" s="685"/>
      <c r="DX21" s="685"/>
      <c r="DY21" s="685"/>
      <c r="DZ21" s="685"/>
      <c r="EA21" s="685"/>
      <c r="EB21" s="685"/>
      <c r="EC21" s="685"/>
      <c r="ED21" s="685"/>
      <c r="EE21" s="685"/>
      <c r="EF21" s="685"/>
      <c r="EG21" s="685"/>
      <c r="EH21" s="685"/>
      <c r="EI21" s="685"/>
      <c r="EJ21" s="685"/>
      <c r="EK21" s="685"/>
      <c r="EL21" s="685"/>
      <c r="EM21" s="685"/>
      <c r="EN21" s="685"/>
      <c r="EO21" s="685"/>
      <c r="EP21" s="685"/>
      <c r="EQ21" s="685"/>
      <c r="ER21" s="685"/>
      <c r="ES21" s="685"/>
      <c r="ET21" s="685"/>
      <c r="EU21" s="685"/>
      <c r="EV21" s="685"/>
      <c r="EW21" s="685"/>
      <c r="EX21" s="685"/>
      <c r="EY21" s="685"/>
      <c r="EZ21" s="685"/>
      <c r="FA21" s="686"/>
      <c r="FB21" s="65"/>
      <c r="FC21" s="65"/>
      <c r="FD21" s="62"/>
      <c r="FE21" s="62"/>
      <c r="FF21" s="62"/>
      <c r="FG21" s="62"/>
      <c r="FH21" s="62"/>
      <c r="FI21" s="62"/>
      <c r="FJ21" s="62"/>
      <c r="FK21" s="62"/>
      <c r="FL21" s="62"/>
      <c r="FM21" s="62"/>
      <c r="FN21" s="62"/>
      <c r="FO21" s="62"/>
      <c r="FP21" s="62"/>
      <c r="FQ21" s="62"/>
      <c r="FR21" s="62"/>
      <c r="FS21" s="62"/>
      <c r="FT21" s="62"/>
      <c r="FU21" s="62"/>
      <c r="FV21" s="62"/>
      <c r="FW21" s="62"/>
      <c r="FX21" s="62"/>
      <c r="FY21" s="62"/>
      <c r="FZ21" s="62"/>
      <c r="GA21" s="62"/>
      <c r="GB21" s="62"/>
      <c r="GC21" s="62"/>
      <c r="GD21" s="62"/>
      <c r="GE21" s="62"/>
      <c r="GF21" s="62"/>
      <c r="GG21" s="62"/>
      <c r="GH21" s="62"/>
      <c r="GI21" s="62"/>
      <c r="GJ21" s="62"/>
      <c r="GK21" s="62"/>
      <c r="GL21" s="62"/>
      <c r="GM21" s="62"/>
      <c r="GN21" s="62"/>
      <c r="GO21" s="62"/>
      <c r="GP21" s="62"/>
      <c r="GQ21" s="62"/>
      <c r="GR21" s="62"/>
      <c r="GS21" s="62"/>
      <c r="GT21" s="62"/>
      <c r="GU21" s="62"/>
      <c r="GV21" s="62"/>
      <c r="GW21" s="62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2"/>
      <c r="HQ21" s="62"/>
      <c r="HR21" s="62"/>
      <c r="HS21" s="62"/>
      <c r="HT21" s="62"/>
      <c r="HU21" s="62"/>
      <c r="HV21" s="62"/>
      <c r="HW21" s="62"/>
      <c r="HX21" s="62"/>
      <c r="HY21" s="62"/>
      <c r="HZ21" s="62"/>
      <c r="IA21" s="62"/>
      <c r="IB21" s="62"/>
      <c r="IC21" s="62"/>
      <c r="ID21" s="62"/>
      <c r="IE21" s="62"/>
      <c r="IF21" s="62"/>
      <c r="IG21" s="62"/>
      <c r="IH21" s="62"/>
      <c r="II21" s="62"/>
      <c r="IJ21" s="62"/>
      <c r="IK21" s="62"/>
      <c r="IL21" s="62"/>
      <c r="IM21" s="62"/>
      <c r="IN21" s="62"/>
      <c r="IO21" s="62"/>
      <c r="IP21" s="62"/>
      <c r="IQ21" s="62"/>
      <c r="IR21" s="62"/>
      <c r="IS21" s="62"/>
      <c r="IT21" s="62"/>
      <c r="IU21" s="62"/>
      <c r="IV21" s="62"/>
      <c r="IW21" s="62"/>
      <c r="IX21" s="62"/>
      <c r="IY21" s="62"/>
      <c r="IZ21" s="62"/>
      <c r="JA21" s="62"/>
      <c r="JB21" s="62"/>
      <c r="JC21" s="62"/>
      <c r="JD21" s="62"/>
      <c r="JE21" s="62"/>
      <c r="JF21" s="62"/>
      <c r="JG21" s="62"/>
      <c r="JH21" s="62"/>
      <c r="JI21" s="62"/>
      <c r="JJ21" s="62"/>
      <c r="JK21" s="62"/>
      <c r="JL21" s="62"/>
      <c r="JM21" s="62"/>
      <c r="JN21" s="62"/>
      <c r="JO21" s="62"/>
      <c r="JP21" s="62"/>
      <c r="JQ21" s="62"/>
      <c r="JR21" s="62"/>
      <c r="JS21" s="62"/>
      <c r="JT21" s="62"/>
      <c r="JU21" s="62"/>
      <c r="JV21" s="62"/>
      <c r="JW21" s="62"/>
      <c r="JX21" s="62"/>
      <c r="JY21" s="62"/>
      <c r="JZ21" s="62"/>
      <c r="KA21" s="62"/>
      <c r="KB21" s="62"/>
      <c r="KC21" s="62"/>
      <c r="KD21" s="62"/>
      <c r="KE21" s="62"/>
      <c r="KF21" s="62"/>
      <c r="KG21" s="62"/>
      <c r="KH21" s="62"/>
      <c r="KI21" s="62"/>
      <c r="KJ21" s="62"/>
      <c r="KK21" s="62"/>
      <c r="KL21" s="62"/>
      <c r="KM21" s="62"/>
      <c r="KN21" s="62"/>
      <c r="KO21" s="62"/>
      <c r="KP21" s="62"/>
      <c r="KQ21" s="62"/>
      <c r="KR21" s="62"/>
      <c r="KS21" s="62"/>
      <c r="KT21" s="62"/>
      <c r="KU21" s="62"/>
      <c r="KV21" s="62"/>
      <c r="KW21" s="62"/>
      <c r="KX21" s="62"/>
      <c r="KY21" s="62"/>
      <c r="KZ21" s="62"/>
      <c r="LA21" s="62"/>
      <c r="LB21" s="62"/>
      <c r="LC21" s="62"/>
      <c r="LD21" s="62"/>
      <c r="LE21" s="62"/>
      <c r="LF21" s="62"/>
      <c r="LG21" s="62"/>
      <c r="LH21" s="62"/>
      <c r="LI21" s="62"/>
      <c r="LJ21" s="62"/>
      <c r="LK21" s="62"/>
      <c r="LL21" s="62"/>
      <c r="LM21" s="62"/>
      <c r="LN21" s="62"/>
      <c r="LO21" s="62"/>
      <c r="LP21" s="62"/>
      <c r="LQ21" s="62"/>
      <c r="LR21" s="62"/>
      <c r="LS21" s="62"/>
      <c r="LT21" s="62"/>
      <c r="LU21" s="62"/>
      <c r="LV21" s="62"/>
      <c r="LW21" s="62"/>
      <c r="LX21" s="62"/>
      <c r="LY21" s="62"/>
      <c r="LZ21" s="62"/>
      <c r="MA21" s="62"/>
      <c r="MB21" s="62"/>
      <c r="MC21" s="62"/>
      <c r="MD21" s="62"/>
      <c r="ME21" s="62"/>
      <c r="MF21" s="62"/>
      <c r="MG21" s="62"/>
      <c r="MH21" s="62"/>
      <c r="MI21" s="62"/>
      <c r="MJ21" s="62"/>
      <c r="MK21" s="62"/>
      <c r="ML21" s="62"/>
      <c r="MM21" s="62"/>
      <c r="MN21" s="62"/>
      <c r="MO21" s="62"/>
      <c r="MP21" s="62"/>
      <c r="MQ21" s="62"/>
      <c r="MR21" s="62"/>
      <c r="MS21" s="62"/>
      <c r="MT21" s="62"/>
      <c r="MU21" s="62"/>
      <c r="MV21" s="62"/>
      <c r="MW21" s="62"/>
      <c r="MX21" s="62"/>
      <c r="MY21" s="62"/>
      <c r="MZ21" s="62"/>
      <c r="NA21" s="62"/>
      <c r="NB21" s="62"/>
      <c r="NC21" s="62"/>
      <c r="ND21" s="62"/>
      <c r="NE21" s="62"/>
      <c r="NF21" s="62"/>
      <c r="NG21" s="62"/>
      <c r="NH21" s="62"/>
      <c r="NI21" s="62"/>
      <c r="NJ21" s="62"/>
      <c r="NK21" s="62"/>
      <c r="NL21" s="62"/>
      <c r="NM21" s="62"/>
      <c r="NN21" s="62"/>
      <c r="NO21" s="62"/>
      <c r="NP21" s="62"/>
      <c r="NQ21" s="62"/>
      <c r="NR21" s="62"/>
      <c r="NS21" s="62"/>
      <c r="NT21" s="62"/>
      <c r="NU21" s="62"/>
    </row>
    <row r="22" spans="1:385" s="61" customFormat="1" ht="15.75">
      <c r="A22" s="88" t="str">
        <f>'Planeación y Costo ✓'!C34</f>
        <v>2.2.1. Implementación de la aplicación</v>
      </c>
      <c r="B22" s="88"/>
      <c r="C22" s="88"/>
      <c r="D22" s="81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82"/>
      <c r="DT22" s="82"/>
      <c r="DU22" s="82"/>
      <c r="DV22" s="82"/>
      <c r="DW22" s="82"/>
      <c r="DX22" s="82"/>
      <c r="DY22" s="82"/>
      <c r="DZ22" s="82"/>
      <c r="EA22" s="82"/>
      <c r="EB22" s="82"/>
      <c r="EC22" s="82"/>
      <c r="ED22" s="82"/>
      <c r="EE22" s="82"/>
      <c r="EF22" s="82"/>
      <c r="EG22" s="82"/>
      <c r="EH22" s="82"/>
      <c r="EI22" s="82"/>
      <c r="EJ22" s="82"/>
      <c r="EK22" s="82"/>
      <c r="EL22" s="82"/>
      <c r="EM22" s="82"/>
      <c r="EN22" s="82"/>
      <c r="EO22" s="82"/>
      <c r="EP22" s="82"/>
      <c r="EQ22" s="82"/>
      <c r="ER22" s="82"/>
      <c r="ES22" s="82"/>
      <c r="ET22" s="82"/>
      <c r="EU22" s="82"/>
      <c r="EV22" s="82"/>
      <c r="EW22" s="82"/>
      <c r="EX22" s="82"/>
      <c r="EY22" s="82"/>
      <c r="EZ22" s="82"/>
      <c r="FA22" s="82"/>
      <c r="FB22" s="66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3"/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3"/>
      <c r="GR22" s="63"/>
      <c r="GS22" s="63"/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3"/>
      <c r="HT22" s="63"/>
      <c r="HU22" s="63"/>
      <c r="HV22" s="63"/>
      <c r="HW22" s="63"/>
      <c r="HX22" s="63"/>
      <c r="HY22" s="63"/>
      <c r="HZ22" s="63"/>
      <c r="IA22" s="63"/>
      <c r="IB22" s="63"/>
      <c r="IC22" s="63"/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3"/>
      <c r="IO22" s="63"/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63"/>
      <c r="JE22" s="63"/>
      <c r="JF22" s="63"/>
      <c r="JG22" s="63"/>
      <c r="JH22" s="63"/>
      <c r="JI22" s="63"/>
      <c r="JJ22" s="63"/>
      <c r="JK22" s="63"/>
      <c r="JL22" s="63"/>
      <c r="JM22" s="63"/>
      <c r="JN22" s="63"/>
      <c r="JO22" s="63"/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63"/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63"/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  <c r="MN22" s="63"/>
      <c r="MO22" s="63"/>
      <c r="MP22" s="63"/>
      <c r="MQ22" s="63"/>
      <c r="MR22" s="63"/>
      <c r="MS22" s="63"/>
      <c r="MT22" s="63"/>
      <c r="MU22" s="63"/>
      <c r="MV22" s="63"/>
      <c r="MW22" s="63"/>
      <c r="MX22" s="63"/>
      <c r="MY22" s="63"/>
      <c r="MZ22" s="63"/>
      <c r="NA22" s="63"/>
      <c r="NB22" s="63"/>
      <c r="NC22" s="63"/>
      <c r="ND22" s="63"/>
      <c r="NE22" s="63"/>
      <c r="NF22" s="63"/>
      <c r="NG22" s="63"/>
      <c r="NH22" s="63"/>
      <c r="NI22" s="63"/>
      <c r="NJ22" s="63"/>
      <c r="NK22" s="63"/>
      <c r="NL22" s="63"/>
      <c r="NM22" s="63"/>
      <c r="NN22" s="63"/>
      <c r="NO22" s="63"/>
      <c r="NP22" s="63"/>
      <c r="NQ22" s="63"/>
      <c r="NR22" s="63"/>
      <c r="NS22" s="63"/>
      <c r="NT22" s="63"/>
      <c r="NU22" s="63"/>
    </row>
    <row r="23" spans="1:385" ht="65.25" customHeight="1">
      <c r="A23" s="89" t="str">
        <f>'Planeación y Costo ✓'!C35</f>
        <v>2.2.1.1. Desarrollo del frontend con tecnologías web interactivas (React.js, Three.js para modelos 3D, o Unity si se requiere mayor interactividad).</v>
      </c>
      <c r="B23" s="78">
        <f>'Planeación y Costo ✓'!D35</f>
        <v>45920</v>
      </c>
      <c r="C23" s="78">
        <f>'Planeación y Costo ✓'!E35</f>
        <v>45924</v>
      </c>
      <c r="D23" s="85">
        <f>'Planeación y Costo ✓'!F35</f>
        <v>65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221"/>
      <c r="AZ23" s="221"/>
      <c r="BA23" s="221"/>
      <c r="BB23" s="221"/>
      <c r="BC23" s="221"/>
      <c r="BD23" s="221"/>
      <c r="BE23" s="221"/>
      <c r="BF23" s="221"/>
      <c r="BG23" s="221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S23" s="109"/>
      <c r="BT23" s="109"/>
      <c r="BU23" s="109"/>
      <c r="BV23" s="109"/>
      <c r="BW23" s="109"/>
      <c r="BX23" s="109"/>
      <c r="BY23" s="109"/>
      <c r="BZ23" s="109"/>
      <c r="CA23" s="109"/>
      <c r="CB23" s="109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65"/>
      <c r="FC23" s="62"/>
      <c r="FD23" s="62"/>
      <c r="FE23" s="62"/>
      <c r="FF23" s="62"/>
      <c r="FG23" s="62"/>
      <c r="FH23" s="62"/>
      <c r="FI23" s="62"/>
      <c r="FJ23" s="62"/>
      <c r="FK23" s="62"/>
      <c r="FL23" s="62"/>
      <c r="FM23" s="62"/>
      <c r="FN23" s="62"/>
      <c r="FO23" s="62"/>
      <c r="FP23" s="62"/>
      <c r="FQ23" s="62"/>
      <c r="FR23" s="62"/>
      <c r="FS23" s="62"/>
      <c r="FT23" s="62"/>
      <c r="FU23" s="62"/>
      <c r="FV23" s="62"/>
      <c r="FW23" s="62"/>
      <c r="FX23" s="62"/>
      <c r="FY23" s="62"/>
      <c r="FZ23" s="62"/>
      <c r="GA23" s="62"/>
      <c r="GB23" s="62"/>
      <c r="GC23" s="62"/>
      <c r="GD23" s="62"/>
      <c r="GE23" s="62"/>
      <c r="GF23" s="62"/>
      <c r="GG23" s="62"/>
      <c r="GH23" s="62"/>
      <c r="GI23" s="62"/>
      <c r="GJ23" s="62"/>
      <c r="GK23" s="62"/>
      <c r="GL23" s="62"/>
      <c r="GM23" s="62"/>
      <c r="GN23" s="62"/>
      <c r="GO23" s="62"/>
      <c r="GP23" s="62"/>
      <c r="GQ23" s="62"/>
      <c r="GR23" s="62"/>
      <c r="GS23" s="62"/>
      <c r="GT23" s="62"/>
      <c r="GU23" s="62"/>
      <c r="GV23" s="62"/>
      <c r="GW23" s="62"/>
      <c r="GX23" s="62"/>
      <c r="GY23" s="62"/>
      <c r="GZ23" s="62"/>
      <c r="HA23" s="62"/>
      <c r="HB23" s="62"/>
      <c r="HC23" s="62"/>
      <c r="HD23" s="62"/>
      <c r="HE23" s="62"/>
      <c r="HF23" s="62"/>
      <c r="HG23" s="62"/>
      <c r="HH23" s="62"/>
      <c r="HI23" s="62"/>
      <c r="HJ23" s="62"/>
      <c r="HK23" s="62"/>
      <c r="HL23" s="62"/>
      <c r="HM23" s="62"/>
      <c r="HN23" s="62"/>
      <c r="HO23" s="62"/>
      <c r="HP23" s="62"/>
      <c r="HQ23" s="62"/>
      <c r="HR23" s="62"/>
      <c r="HS23" s="62"/>
      <c r="HT23" s="62"/>
      <c r="HU23" s="62"/>
      <c r="HV23" s="62"/>
      <c r="HW23" s="62"/>
      <c r="HX23" s="62"/>
      <c r="HY23" s="62"/>
      <c r="HZ23" s="62"/>
      <c r="IA23" s="62"/>
      <c r="IB23" s="62"/>
      <c r="IC23" s="62"/>
      <c r="ID23" s="62"/>
      <c r="IE23" s="62"/>
      <c r="IF23" s="62"/>
      <c r="IG23" s="62"/>
      <c r="IH23" s="62"/>
      <c r="II23" s="62"/>
      <c r="IJ23" s="62"/>
      <c r="IK23" s="62"/>
      <c r="IL23" s="62"/>
      <c r="IM23" s="62"/>
      <c r="IN23" s="62"/>
      <c r="IO23" s="62"/>
      <c r="IP23" s="62"/>
      <c r="IQ23" s="62"/>
      <c r="IR23" s="62"/>
      <c r="IS23" s="62"/>
      <c r="IT23" s="62"/>
      <c r="IU23" s="62"/>
      <c r="IV23" s="62"/>
      <c r="IW23" s="62"/>
      <c r="IX23" s="62"/>
      <c r="IY23" s="62"/>
      <c r="IZ23" s="62"/>
      <c r="JA23" s="62"/>
      <c r="JB23" s="62"/>
      <c r="JC23" s="62"/>
      <c r="JD23" s="62"/>
      <c r="JE23" s="62"/>
      <c r="JF23" s="62"/>
      <c r="JG23" s="62"/>
      <c r="JH23" s="62"/>
      <c r="JI23" s="62"/>
      <c r="JJ23" s="62"/>
      <c r="JK23" s="62"/>
      <c r="JL23" s="62"/>
      <c r="JM23" s="62"/>
      <c r="JN23" s="62"/>
      <c r="JO23" s="62"/>
      <c r="JP23" s="62"/>
      <c r="JQ23" s="62"/>
      <c r="JR23" s="62"/>
      <c r="JS23" s="62"/>
      <c r="JT23" s="62"/>
      <c r="JU23" s="62"/>
      <c r="JV23" s="62"/>
      <c r="JW23" s="62"/>
      <c r="JX23" s="62"/>
      <c r="JY23" s="62"/>
      <c r="JZ23" s="62"/>
      <c r="KA23" s="62"/>
      <c r="KB23" s="62"/>
      <c r="KC23" s="62"/>
      <c r="KD23" s="62"/>
      <c r="KE23" s="62"/>
      <c r="KF23" s="62"/>
      <c r="KG23" s="62"/>
      <c r="KH23" s="62"/>
      <c r="KI23" s="62"/>
      <c r="KJ23" s="62"/>
      <c r="KK23" s="62"/>
      <c r="KL23" s="62"/>
      <c r="KM23" s="62"/>
      <c r="KN23" s="62"/>
      <c r="KO23" s="62"/>
      <c r="KP23" s="62"/>
      <c r="KQ23" s="62"/>
      <c r="KR23" s="62"/>
      <c r="KS23" s="62"/>
      <c r="KT23" s="62"/>
      <c r="KU23" s="62"/>
      <c r="KV23" s="62"/>
      <c r="KW23" s="62"/>
      <c r="KX23" s="62"/>
      <c r="KY23" s="62"/>
      <c r="KZ23" s="62"/>
      <c r="LA23" s="62"/>
      <c r="LB23" s="62"/>
      <c r="LC23" s="62"/>
      <c r="LD23" s="62"/>
      <c r="LE23" s="62"/>
      <c r="LF23" s="62"/>
      <c r="LG23" s="62"/>
      <c r="LH23" s="62"/>
      <c r="LI23" s="62"/>
      <c r="LJ23" s="62"/>
      <c r="LK23" s="62"/>
      <c r="LL23" s="62"/>
      <c r="LM23" s="62"/>
      <c r="LN23" s="62"/>
      <c r="LO23" s="62"/>
      <c r="LP23" s="62"/>
      <c r="LQ23" s="62"/>
      <c r="LR23" s="62"/>
      <c r="LS23" s="62"/>
      <c r="LT23" s="62"/>
      <c r="LU23" s="62"/>
      <c r="LV23" s="62"/>
      <c r="LW23" s="62"/>
      <c r="LX23" s="62"/>
      <c r="LY23" s="62"/>
      <c r="LZ23" s="62"/>
      <c r="MA23" s="62"/>
      <c r="MB23" s="62"/>
      <c r="MC23" s="62"/>
      <c r="MD23" s="62"/>
      <c r="ME23" s="62"/>
      <c r="MF23" s="62"/>
      <c r="MG23" s="62"/>
      <c r="MH23" s="62"/>
      <c r="MI23" s="62"/>
      <c r="MJ23" s="62"/>
      <c r="MK23" s="62"/>
      <c r="ML23" s="62"/>
      <c r="MM23" s="62"/>
      <c r="MN23" s="62"/>
      <c r="MO23" s="62"/>
      <c r="MP23" s="62"/>
      <c r="MQ23" s="62"/>
      <c r="MR23" s="62"/>
      <c r="MS23" s="62"/>
      <c r="MT23" s="62"/>
      <c r="MU23" s="62"/>
      <c r="MV23" s="62"/>
      <c r="MW23" s="62"/>
      <c r="MX23" s="62"/>
      <c r="MY23" s="62"/>
      <c r="MZ23" s="62"/>
      <c r="NA23" s="62"/>
      <c r="NB23" s="62"/>
      <c r="NC23" s="62"/>
      <c r="ND23" s="62"/>
      <c r="NE23" s="62"/>
      <c r="NF23" s="62"/>
      <c r="NG23" s="62"/>
      <c r="NH23" s="62"/>
      <c r="NI23" s="62"/>
      <c r="NJ23" s="62"/>
      <c r="NK23" s="62"/>
      <c r="NL23" s="62"/>
      <c r="NM23" s="62"/>
      <c r="NN23" s="62"/>
      <c r="NO23" s="62"/>
      <c r="NP23" s="62"/>
      <c r="NQ23" s="62"/>
      <c r="NR23" s="62"/>
      <c r="NS23" s="62"/>
      <c r="NT23" s="62"/>
      <c r="NU23" s="62"/>
    </row>
    <row r="24" spans="1:385" ht="72" customHeight="1">
      <c r="A24" s="89" t="str">
        <f>'Planeación y Costo ✓'!C36</f>
        <v>2.2.1.2. Construcción del backend (API REST con Node.js, gestión de usuarios, integración con bases de datos como MongoDB/PostgreSQL).</v>
      </c>
      <c r="B24" s="78">
        <f>'Planeación y Costo ✓'!D36</f>
        <v>45924</v>
      </c>
      <c r="C24" s="78">
        <f>'Planeación y Costo ✓'!E36</f>
        <v>45928</v>
      </c>
      <c r="D24" s="85">
        <f>'Planeación y Costo ✓'!F36</f>
        <v>56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/>
      <c r="EF24" s="86"/>
      <c r="EG24" s="86"/>
      <c r="EH24" s="86"/>
      <c r="EI24" s="86"/>
      <c r="EJ24" s="86"/>
      <c r="EK24" s="86"/>
      <c r="EL24" s="86"/>
      <c r="EM24" s="86"/>
      <c r="EN24" s="86"/>
      <c r="EO24" s="8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65"/>
      <c r="FC24" s="62"/>
      <c r="FD24" s="62"/>
      <c r="FE24" s="62"/>
      <c r="FF24" s="62"/>
      <c r="FG24" s="62"/>
      <c r="FH24" s="62"/>
      <c r="FI24" s="62"/>
      <c r="FJ24" s="62"/>
      <c r="FK24" s="62"/>
      <c r="FL24" s="62"/>
      <c r="FM24" s="62"/>
      <c r="FN24" s="62"/>
      <c r="FO24" s="62"/>
      <c r="FP24" s="62"/>
      <c r="FQ24" s="62"/>
      <c r="FR24" s="62"/>
      <c r="FS24" s="62"/>
      <c r="FT24" s="62"/>
      <c r="FU24" s="62"/>
      <c r="FV24" s="62"/>
      <c r="FW24" s="62"/>
      <c r="FX24" s="62"/>
      <c r="FY24" s="62"/>
      <c r="FZ24" s="62"/>
      <c r="GA24" s="62"/>
      <c r="GB24" s="62"/>
      <c r="GC24" s="62"/>
      <c r="GD24" s="62"/>
      <c r="GE24" s="62"/>
      <c r="GF24" s="62"/>
      <c r="GG24" s="62"/>
      <c r="GH24" s="62"/>
      <c r="GI24" s="62"/>
      <c r="GJ24" s="62"/>
      <c r="GK24" s="62"/>
      <c r="GL24" s="62"/>
      <c r="GM24" s="62"/>
      <c r="GN24" s="62"/>
      <c r="GO24" s="62"/>
      <c r="GP24" s="62"/>
      <c r="GQ24" s="62"/>
      <c r="GR24" s="62"/>
      <c r="GS24" s="62"/>
      <c r="GT24" s="62"/>
      <c r="GU24" s="62"/>
      <c r="GV24" s="62"/>
      <c r="GW24" s="62"/>
      <c r="GX24" s="62"/>
      <c r="GY24" s="62"/>
      <c r="GZ24" s="62"/>
      <c r="HA24" s="62"/>
      <c r="HB24" s="62"/>
      <c r="HC24" s="62"/>
      <c r="HD24" s="62"/>
      <c r="HE24" s="62"/>
      <c r="HF24" s="62"/>
      <c r="HG24" s="62"/>
      <c r="HH24" s="62"/>
      <c r="HI24" s="62"/>
      <c r="HJ24" s="62"/>
      <c r="HK24" s="62"/>
      <c r="HL24" s="62"/>
      <c r="HM24" s="62"/>
      <c r="HN24" s="62"/>
      <c r="HO24" s="62"/>
      <c r="HP24" s="62"/>
      <c r="HQ24" s="62"/>
      <c r="HR24" s="62"/>
      <c r="HS24" s="62"/>
      <c r="HT24" s="62"/>
      <c r="HU24" s="62"/>
      <c r="HV24" s="62"/>
      <c r="HW24" s="62"/>
      <c r="HX24" s="62"/>
      <c r="HY24" s="62"/>
      <c r="HZ24" s="62"/>
      <c r="IA24" s="62"/>
      <c r="IB24" s="62"/>
      <c r="IC24" s="62"/>
      <c r="ID24" s="62"/>
      <c r="IE24" s="62"/>
      <c r="IF24" s="62"/>
      <c r="IG24" s="62"/>
      <c r="IH24" s="62"/>
      <c r="II24" s="62"/>
      <c r="IJ24" s="62"/>
      <c r="IK24" s="62"/>
      <c r="IL24" s="62"/>
      <c r="IM24" s="62"/>
      <c r="IN24" s="62"/>
      <c r="IO24" s="62"/>
      <c r="IP24" s="62"/>
      <c r="IQ24" s="62"/>
      <c r="IR24" s="62"/>
      <c r="IS24" s="62"/>
      <c r="IT24" s="62"/>
      <c r="IU24" s="62"/>
      <c r="IV24" s="62"/>
      <c r="IW24" s="62"/>
      <c r="IX24" s="62"/>
      <c r="IY24" s="62"/>
      <c r="IZ24" s="62"/>
      <c r="JA24" s="62"/>
      <c r="JB24" s="62"/>
      <c r="JC24" s="62"/>
      <c r="JD24" s="62"/>
      <c r="JE24" s="62"/>
      <c r="JF24" s="62"/>
      <c r="JG24" s="62"/>
      <c r="JH24" s="62"/>
      <c r="JI24" s="62"/>
      <c r="JJ24" s="62"/>
      <c r="JK24" s="62"/>
      <c r="JL24" s="62"/>
      <c r="JM24" s="62"/>
      <c r="JN24" s="62"/>
      <c r="JO24" s="62"/>
      <c r="JP24" s="62"/>
      <c r="JQ24" s="62"/>
      <c r="JR24" s="62"/>
      <c r="JS24" s="62"/>
      <c r="JT24" s="62"/>
      <c r="JU24" s="62"/>
      <c r="JV24" s="62"/>
      <c r="JW24" s="62"/>
      <c r="JX24" s="62"/>
      <c r="JY24" s="62"/>
      <c r="JZ24" s="62"/>
      <c r="KA24" s="62"/>
      <c r="KB24" s="62"/>
      <c r="KC24" s="62"/>
      <c r="KD24" s="62"/>
      <c r="KE24" s="62"/>
      <c r="KF24" s="62"/>
      <c r="KG24" s="62"/>
      <c r="KH24" s="62"/>
      <c r="KI24" s="62"/>
      <c r="KJ24" s="62"/>
      <c r="KK24" s="62"/>
      <c r="KL24" s="62"/>
      <c r="KM24" s="62"/>
      <c r="KN24" s="62"/>
      <c r="KO24" s="62"/>
      <c r="KP24" s="62"/>
      <c r="KQ24" s="62"/>
      <c r="KR24" s="62"/>
      <c r="KS24" s="62"/>
      <c r="KT24" s="62"/>
      <c r="KU24" s="62"/>
      <c r="KV24" s="62"/>
      <c r="KW24" s="62"/>
      <c r="KX24" s="62"/>
      <c r="KY24" s="62"/>
      <c r="KZ24" s="62"/>
      <c r="LA24" s="62"/>
      <c r="LB24" s="62"/>
      <c r="LC24" s="62"/>
      <c r="LD24" s="62"/>
      <c r="LE24" s="62"/>
      <c r="LF24" s="62"/>
      <c r="LG24" s="62"/>
      <c r="LH24" s="62"/>
      <c r="LI24" s="62"/>
      <c r="LJ24" s="62"/>
      <c r="LK24" s="62"/>
      <c r="LL24" s="62"/>
      <c r="LM24" s="62"/>
      <c r="LN24" s="62"/>
      <c r="LO24" s="62"/>
      <c r="LP24" s="62"/>
      <c r="LQ24" s="62"/>
      <c r="LR24" s="62"/>
      <c r="LS24" s="62"/>
      <c r="LT24" s="62"/>
      <c r="LU24" s="62"/>
      <c r="LV24" s="62"/>
      <c r="LW24" s="62"/>
      <c r="LX24" s="62"/>
      <c r="LY24" s="62"/>
      <c r="LZ24" s="62"/>
      <c r="MA24" s="62"/>
      <c r="MB24" s="62"/>
      <c r="MC24" s="62"/>
      <c r="MD24" s="62"/>
      <c r="ME24" s="62"/>
      <c r="MF24" s="62"/>
      <c r="MG24" s="62"/>
      <c r="MH24" s="62"/>
      <c r="MI24" s="62"/>
      <c r="MJ24" s="62"/>
      <c r="MK24" s="62"/>
      <c r="ML24" s="62"/>
      <c r="MM24" s="62"/>
      <c r="MN24" s="62"/>
      <c r="MO24" s="62"/>
      <c r="MP24" s="62"/>
      <c r="MQ24" s="62"/>
      <c r="MR24" s="62"/>
      <c r="MS24" s="62"/>
      <c r="MT24" s="62"/>
      <c r="MU24" s="62"/>
      <c r="MV24" s="62"/>
      <c r="MW24" s="62"/>
      <c r="MX24" s="62"/>
      <c r="MY24" s="62"/>
      <c r="MZ24" s="62"/>
      <c r="NA24" s="62"/>
      <c r="NB24" s="62"/>
      <c r="NC24" s="62"/>
      <c r="ND24" s="62"/>
      <c r="NE24" s="62"/>
      <c r="NF24" s="62"/>
      <c r="NG24" s="62"/>
      <c r="NH24" s="62"/>
      <c r="NI24" s="62"/>
      <c r="NJ24" s="62"/>
      <c r="NK24" s="62"/>
      <c r="NL24" s="62"/>
      <c r="NM24" s="62"/>
      <c r="NN24" s="62"/>
      <c r="NO24" s="62"/>
      <c r="NP24" s="62"/>
      <c r="NQ24" s="62"/>
      <c r="NR24" s="62"/>
      <c r="NS24" s="62"/>
      <c r="NT24" s="62"/>
      <c r="NU24" s="62"/>
    </row>
    <row r="25" spans="1:385" ht="74.25" customHeight="1">
      <c r="A25" s="89" t="str">
        <f>'Planeación y Costo ✓'!C37</f>
        <v>2.2.1.3. Integración de herramientas educativas (ej: Jupyter Notebooks para programación, Docker para laboratorios virtuales).</v>
      </c>
      <c r="B25" s="78">
        <f>'Planeación y Costo ✓'!D37</f>
        <v>45929</v>
      </c>
      <c r="C25" s="78">
        <f>'Planeación y Costo ✓'!E37</f>
        <v>45930</v>
      </c>
      <c r="D25" s="85">
        <f>'Planeación y Costo ✓'!F37</f>
        <v>24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221"/>
      <c r="BD25" s="221"/>
      <c r="BE25" s="221"/>
      <c r="BF25" s="221"/>
      <c r="BG25" s="221"/>
      <c r="BH25" s="221"/>
      <c r="BI25" s="221"/>
      <c r="BJ25" s="221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65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2"/>
      <c r="HR25" s="62"/>
      <c r="HS25" s="62"/>
      <c r="HT25" s="62"/>
      <c r="HU25" s="62"/>
      <c r="HV25" s="62"/>
      <c r="HW25" s="62"/>
      <c r="HX25" s="62"/>
      <c r="HY25" s="62"/>
      <c r="HZ25" s="62"/>
      <c r="IA25" s="62"/>
      <c r="IB25" s="62"/>
      <c r="IC25" s="62"/>
      <c r="ID25" s="62"/>
      <c r="IE25" s="62"/>
      <c r="IF25" s="62"/>
      <c r="IG25" s="62"/>
      <c r="IH25" s="62"/>
      <c r="II25" s="62"/>
      <c r="IJ25" s="62"/>
      <c r="IK25" s="62"/>
      <c r="IL25" s="62"/>
      <c r="IM25" s="62"/>
      <c r="IN25" s="62"/>
      <c r="IO25" s="62"/>
      <c r="IP25" s="62"/>
      <c r="IQ25" s="62"/>
      <c r="IR25" s="62"/>
      <c r="IS25" s="62"/>
      <c r="IT25" s="62"/>
      <c r="IU25" s="62"/>
      <c r="IV25" s="62"/>
      <c r="IW25" s="62"/>
      <c r="IX25" s="62"/>
      <c r="IY25" s="62"/>
      <c r="IZ25" s="62"/>
      <c r="JA25" s="62"/>
      <c r="JB25" s="62"/>
      <c r="JC25" s="62"/>
      <c r="JD25" s="62"/>
      <c r="JE25" s="62"/>
      <c r="JF25" s="62"/>
      <c r="JG25" s="62"/>
      <c r="JH25" s="62"/>
      <c r="JI25" s="62"/>
      <c r="JJ25" s="62"/>
      <c r="JK25" s="62"/>
      <c r="JL25" s="62"/>
      <c r="JM25" s="62"/>
      <c r="JN25" s="62"/>
      <c r="JO25" s="62"/>
      <c r="JP25" s="62"/>
      <c r="JQ25" s="62"/>
      <c r="JR25" s="62"/>
      <c r="JS25" s="62"/>
      <c r="JT25" s="62"/>
      <c r="JU25" s="62"/>
      <c r="JV25" s="62"/>
      <c r="JW25" s="62"/>
      <c r="JX25" s="62"/>
      <c r="JY25" s="62"/>
      <c r="JZ25" s="62"/>
      <c r="KA25" s="62"/>
      <c r="KB25" s="62"/>
      <c r="KC25" s="62"/>
      <c r="KD25" s="62"/>
      <c r="KE25" s="62"/>
      <c r="KF25" s="62"/>
      <c r="KG25" s="62"/>
      <c r="KH25" s="62"/>
      <c r="KI25" s="62"/>
      <c r="KJ25" s="62"/>
      <c r="KK25" s="62"/>
      <c r="KL25" s="62"/>
      <c r="KM25" s="62"/>
      <c r="KN25" s="62"/>
      <c r="KO25" s="62"/>
      <c r="KP25" s="62"/>
      <c r="KQ25" s="62"/>
      <c r="KR25" s="62"/>
      <c r="KS25" s="62"/>
      <c r="KT25" s="62"/>
      <c r="KU25" s="62"/>
      <c r="KV25" s="62"/>
      <c r="KW25" s="62"/>
      <c r="KX25" s="62"/>
      <c r="KY25" s="62"/>
      <c r="KZ25" s="62"/>
      <c r="LA25" s="62"/>
      <c r="LB25" s="62"/>
      <c r="LC25" s="62"/>
      <c r="LD25" s="62"/>
      <c r="LE25" s="62"/>
      <c r="LF25" s="62"/>
      <c r="LG25" s="62"/>
      <c r="LH25" s="62"/>
      <c r="LI25" s="62"/>
      <c r="LJ25" s="62"/>
      <c r="LK25" s="62"/>
      <c r="LL25" s="62"/>
      <c r="LM25" s="62"/>
      <c r="LN25" s="62"/>
      <c r="LO25" s="62"/>
      <c r="LP25" s="62"/>
      <c r="LQ25" s="62"/>
      <c r="LR25" s="62"/>
      <c r="LS25" s="62"/>
      <c r="LT25" s="62"/>
      <c r="LU25" s="62"/>
      <c r="LV25" s="62"/>
      <c r="LW25" s="62"/>
      <c r="LX25" s="62"/>
      <c r="LY25" s="62"/>
      <c r="LZ25" s="62"/>
      <c r="MA25" s="62"/>
      <c r="MB25" s="62"/>
      <c r="MC25" s="62"/>
      <c r="MD25" s="62"/>
      <c r="ME25" s="62"/>
      <c r="MF25" s="62"/>
      <c r="MG25" s="62"/>
      <c r="MH25" s="62"/>
      <c r="MI25" s="62"/>
      <c r="MJ25" s="62"/>
      <c r="MK25" s="62"/>
      <c r="ML25" s="62"/>
      <c r="MM25" s="62"/>
      <c r="MN25" s="62"/>
      <c r="MO25" s="62"/>
      <c r="MP25" s="62"/>
      <c r="MQ25" s="62"/>
      <c r="MR25" s="62"/>
      <c r="MS25" s="62"/>
      <c r="MT25" s="62"/>
      <c r="MU25" s="62"/>
      <c r="MV25" s="62"/>
      <c r="MW25" s="62"/>
      <c r="MX25" s="62"/>
      <c r="MY25" s="62"/>
      <c r="MZ25" s="62"/>
      <c r="NA25" s="62"/>
      <c r="NB25" s="62"/>
      <c r="NC25" s="62"/>
      <c r="ND25" s="62"/>
      <c r="NE25" s="62"/>
      <c r="NF25" s="62"/>
      <c r="NG25" s="62"/>
      <c r="NH25" s="62"/>
      <c r="NI25" s="62"/>
      <c r="NJ25" s="62"/>
      <c r="NK25" s="62"/>
      <c r="NL25" s="62"/>
      <c r="NM25" s="62"/>
      <c r="NN25" s="62"/>
      <c r="NO25" s="62"/>
      <c r="NP25" s="62"/>
      <c r="NQ25" s="62"/>
      <c r="NR25" s="62"/>
      <c r="NS25" s="62"/>
      <c r="NT25" s="62"/>
      <c r="NU25" s="62"/>
    </row>
    <row r="26" spans="1:385" s="61" customFormat="1" ht="14.25" customHeight="1">
      <c r="A26" s="88" t="str">
        <f>'Planeación y Costo ✓'!C38</f>
        <v>2.2.2. Pruebas y Validación</v>
      </c>
      <c r="B26" s="88"/>
      <c r="C26" s="88"/>
      <c r="D26" s="81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82"/>
      <c r="DT26" s="82"/>
      <c r="DU26" s="82"/>
      <c r="DV26" s="82"/>
      <c r="DW26" s="82"/>
      <c r="DX26" s="82"/>
      <c r="DY26" s="82"/>
      <c r="DZ26" s="82"/>
      <c r="EA26" s="82"/>
      <c r="EB26" s="82"/>
      <c r="EC26" s="82"/>
      <c r="ED26" s="82"/>
      <c r="EE26" s="82"/>
      <c r="EF26" s="82"/>
      <c r="EG26" s="82"/>
      <c r="EH26" s="82"/>
      <c r="EI26" s="82"/>
      <c r="EJ26" s="82"/>
      <c r="EK26" s="82"/>
      <c r="EL26" s="82"/>
      <c r="EM26" s="82"/>
      <c r="EN26" s="82"/>
      <c r="EO26" s="82"/>
      <c r="EP26" s="82"/>
      <c r="EQ26" s="82"/>
      <c r="ER26" s="82"/>
      <c r="ES26" s="82"/>
      <c r="ET26" s="82"/>
      <c r="EU26" s="82"/>
      <c r="EV26" s="82"/>
      <c r="EW26" s="82"/>
      <c r="EX26" s="82"/>
      <c r="EY26" s="82"/>
      <c r="EZ26" s="82"/>
      <c r="FA26" s="82"/>
      <c r="FB26" s="66"/>
      <c r="FC26" s="63"/>
      <c r="FD26" s="63"/>
      <c r="FE26" s="63"/>
      <c r="FF26" s="63"/>
      <c r="FG26" s="63"/>
      <c r="FH26" s="63"/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3"/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3"/>
      <c r="GR26" s="63"/>
      <c r="GS26" s="63"/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3"/>
      <c r="HT26" s="63"/>
      <c r="HU26" s="63"/>
      <c r="HV26" s="63"/>
      <c r="HW26" s="63"/>
      <c r="HX26" s="63"/>
      <c r="HY26" s="63"/>
      <c r="HZ26" s="63"/>
      <c r="IA26" s="63"/>
      <c r="IB26" s="63"/>
      <c r="IC26" s="63"/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3"/>
      <c r="IO26" s="63"/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63"/>
      <c r="JE26" s="63"/>
      <c r="JF26" s="63"/>
      <c r="JG26" s="63"/>
      <c r="JH26" s="63"/>
      <c r="JI26" s="63"/>
      <c r="JJ26" s="63"/>
      <c r="JK26" s="63"/>
      <c r="JL26" s="63"/>
      <c r="JM26" s="63"/>
      <c r="JN26" s="63"/>
      <c r="JO26" s="63"/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63"/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63"/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  <c r="MN26" s="63"/>
      <c r="MO26" s="63"/>
      <c r="MP26" s="63"/>
      <c r="MQ26" s="63"/>
      <c r="MR26" s="63"/>
      <c r="MS26" s="63"/>
      <c r="MT26" s="63"/>
      <c r="MU26" s="63"/>
      <c r="MV26" s="63"/>
      <c r="MW26" s="63"/>
      <c r="MX26" s="63"/>
      <c r="MY26" s="63"/>
      <c r="MZ26" s="63"/>
      <c r="NA26" s="63"/>
      <c r="NB26" s="63"/>
      <c r="NC26" s="63"/>
      <c r="ND26" s="63"/>
      <c r="NE26" s="63"/>
      <c r="NF26" s="63"/>
      <c r="NG26" s="63"/>
      <c r="NH26" s="63"/>
      <c r="NI26" s="63"/>
      <c r="NJ26" s="63"/>
      <c r="NK26" s="63"/>
      <c r="NL26" s="63"/>
      <c r="NM26" s="63"/>
      <c r="NN26" s="63"/>
      <c r="NO26" s="63"/>
      <c r="NP26" s="63"/>
      <c r="NQ26" s="63"/>
      <c r="NR26" s="63"/>
      <c r="NS26" s="63"/>
      <c r="NT26" s="63"/>
      <c r="NU26" s="63"/>
    </row>
    <row r="27" spans="1:385" ht="47.25" customHeight="1">
      <c r="A27" s="83" t="str">
        <f>'Planeación y Costo ✓'!C39</f>
        <v>2.2.2.1. Pruebas unitarias y de integración (con frameworks como Jest, Selenium o PyTest).</v>
      </c>
      <c r="B27" s="84">
        <f>'Planeación y Costo ✓'!D39</f>
        <v>45931</v>
      </c>
      <c r="C27" s="84">
        <f>'Planeación y Costo ✓'!E39</f>
        <v>45940</v>
      </c>
      <c r="D27" s="85">
        <f>'Planeación y Costo ✓'!F39</f>
        <v>80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228"/>
      <c r="CJ27" s="109"/>
      <c r="CK27" s="109"/>
      <c r="CL27" s="228"/>
      <c r="CM27" s="228"/>
      <c r="CN27" s="228"/>
      <c r="CO27" s="228"/>
      <c r="CP27" s="228"/>
      <c r="CQ27" s="228"/>
      <c r="CR27" s="228"/>
      <c r="CS27" s="228"/>
      <c r="CT27" s="228"/>
      <c r="CU27" s="228"/>
      <c r="CV27" s="228"/>
      <c r="CW27" s="228"/>
      <c r="CX27" s="228"/>
      <c r="CY27" s="228"/>
      <c r="CZ27" s="228"/>
      <c r="DA27" s="228"/>
      <c r="DB27" s="228"/>
      <c r="DC27" s="228"/>
      <c r="DD27" s="228"/>
      <c r="DE27" s="228"/>
      <c r="DF27" s="228"/>
      <c r="DG27" s="228"/>
      <c r="DH27" s="228"/>
      <c r="DI27" s="228"/>
      <c r="DJ27" s="228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65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62"/>
      <c r="GL27" s="62"/>
      <c r="GM27" s="62"/>
      <c r="GN27" s="62"/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GZ27" s="62"/>
      <c r="HA27" s="62"/>
      <c r="HB27" s="62"/>
      <c r="HC27" s="62"/>
      <c r="HD27" s="62"/>
      <c r="HE27" s="62"/>
      <c r="HF27" s="62"/>
      <c r="HG27" s="62"/>
      <c r="HH27" s="62"/>
      <c r="HI27" s="62"/>
      <c r="HJ27" s="62"/>
      <c r="HK27" s="62"/>
      <c r="HL27" s="62"/>
      <c r="HM27" s="62"/>
      <c r="HN27" s="62"/>
      <c r="HO27" s="62"/>
      <c r="HP27" s="62"/>
      <c r="HQ27" s="62"/>
      <c r="HR27" s="62"/>
      <c r="HS27" s="62"/>
      <c r="HT27" s="62"/>
      <c r="HU27" s="62"/>
      <c r="HV27" s="62"/>
      <c r="HW27" s="62"/>
      <c r="HX27" s="62"/>
      <c r="HY27" s="62"/>
      <c r="HZ27" s="62"/>
      <c r="IA27" s="62"/>
      <c r="IB27" s="62"/>
      <c r="IC27" s="62"/>
      <c r="ID27" s="62"/>
      <c r="IE27" s="62"/>
      <c r="IF27" s="62"/>
      <c r="IG27" s="62"/>
      <c r="IH27" s="62"/>
      <c r="II27" s="62"/>
      <c r="IJ27" s="62"/>
      <c r="IK27" s="62"/>
      <c r="IL27" s="62"/>
      <c r="IM27" s="62"/>
      <c r="IN27" s="62"/>
      <c r="IO27" s="62"/>
      <c r="IP27" s="62"/>
      <c r="IQ27" s="62"/>
      <c r="IR27" s="62"/>
      <c r="IS27" s="62"/>
      <c r="IT27" s="62"/>
      <c r="IU27" s="62"/>
      <c r="IV27" s="62"/>
      <c r="IW27" s="62"/>
      <c r="IX27" s="62"/>
      <c r="IY27" s="62"/>
      <c r="IZ27" s="62"/>
      <c r="JA27" s="62"/>
      <c r="JB27" s="62"/>
      <c r="JC27" s="62"/>
      <c r="JD27" s="62"/>
      <c r="JE27" s="62"/>
      <c r="JF27" s="62"/>
      <c r="JG27" s="62"/>
      <c r="JH27" s="62"/>
      <c r="JI27" s="62"/>
      <c r="JJ27" s="62"/>
      <c r="JK27" s="62"/>
      <c r="JL27" s="62"/>
      <c r="JM27" s="62"/>
      <c r="JN27" s="62"/>
      <c r="JO27" s="62"/>
      <c r="JP27" s="62"/>
      <c r="JQ27" s="62"/>
      <c r="JR27" s="62"/>
      <c r="JS27" s="62"/>
      <c r="JT27" s="62"/>
      <c r="JU27" s="62"/>
      <c r="JV27" s="62"/>
      <c r="JW27" s="62"/>
      <c r="JX27" s="62"/>
      <c r="JY27" s="62"/>
      <c r="JZ27" s="62"/>
      <c r="KA27" s="62"/>
      <c r="KB27" s="62"/>
      <c r="KC27" s="62"/>
      <c r="KD27" s="62"/>
      <c r="KE27" s="62"/>
      <c r="KF27" s="62"/>
      <c r="KG27" s="62"/>
      <c r="KH27" s="62"/>
      <c r="KI27" s="62"/>
      <c r="KJ27" s="62"/>
      <c r="KK27" s="62"/>
      <c r="KL27" s="62"/>
      <c r="KM27" s="62"/>
      <c r="KN27" s="62"/>
      <c r="KO27" s="62"/>
      <c r="KP27" s="62"/>
      <c r="KQ27" s="62"/>
      <c r="KR27" s="62"/>
      <c r="KS27" s="62"/>
      <c r="KT27" s="62"/>
      <c r="KU27" s="62"/>
      <c r="KV27" s="62"/>
      <c r="KW27" s="62"/>
      <c r="KX27" s="62"/>
      <c r="KY27" s="62"/>
      <c r="KZ27" s="62"/>
      <c r="LA27" s="62"/>
      <c r="LB27" s="62"/>
      <c r="LC27" s="62"/>
      <c r="LD27" s="62"/>
      <c r="LE27" s="62"/>
      <c r="LF27" s="62"/>
      <c r="LG27" s="62"/>
      <c r="LH27" s="62"/>
      <c r="LI27" s="62"/>
      <c r="LJ27" s="62"/>
      <c r="LK27" s="62"/>
      <c r="LL27" s="62"/>
      <c r="LM27" s="62"/>
      <c r="LN27" s="62"/>
      <c r="LO27" s="62"/>
      <c r="LP27" s="62"/>
      <c r="LQ27" s="62"/>
      <c r="LR27" s="62"/>
      <c r="LS27" s="62"/>
      <c r="LT27" s="62"/>
      <c r="LU27" s="62"/>
      <c r="LV27" s="62"/>
      <c r="LW27" s="62"/>
      <c r="LX27" s="62"/>
      <c r="LY27" s="62"/>
      <c r="LZ27" s="62"/>
      <c r="MA27" s="62"/>
      <c r="MB27" s="62"/>
      <c r="MC27" s="62"/>
      <c r="MD27" s="62"/>
      <c r="ME27" s="62"/>
      <c r="MF27" s="62"/>
      <c r="MG27" s="62"/>
      <c r="MH27" s="62"/>
      <c r="MI27" s="62"/>
      <c r="MJ27" s="62"/>
      <c r="MK27" s="62"/>
      <c r="ML27" s="62"/>
      <c r="MM27" s="62"/>
      <c r="MN27" s="62"/>
      <c r="MO27" s="62"/>
      <c r="MP27" s="62"/>
      <c r="MQ27" s="62"/>
      <c r="MR27" s="62"/>
      <c r="MS27" s="62"/>
      <c r="MT27" s="62"/>
      <c r="MU27" s="62"/>
      <c r="MV27" s="62"/>
      <c r="MW27" s="62"/>
      <c r="MX27" s="62"/>
      <c r="MY27" s="62"/>
      <c r="MZ27" s="62"/>
      <c r="NA27" s="62"/>
      <c r="NB27" s="62"/>
      <c r="NC27" s="62"/>
      <c r="ND27" s="62"/>
      <c r="NE27" s="62"/>
      <c r="NF27" s="62"/>
      <c r="NG27" s="62"/>
      <c r="NH27" s="62"/>
      <c r="NI27" s="62"/>
      <c r="NJ27" s="62"/>
      <c r="NK27" s="62"/>
      <c r="NL27" s="62"/>
      <c r="NM27" s="62"/>
      <c r="NN27" s="62"/>
      <c r="NO27" s="62"/>
      <c r="NP27" s="62"/>
      <c r="NQ27" s="62"/>
      <c r="NR27" s="62"/>
      <c r="NS27" s="62"/>
      <c r="NT27" s="62"/>
      <c r="NU27" s="62"/>
    </row>
    <row r="28" spans="1:385" ht="42.75" customHeight="1">
      <c r="A28" s="83" t="str">
        <f>'Planeación y Costo ✓'!C40</f>
        <v>2.2.2.2. Pruebas de usabilidad con estudiantes reales (tests A/B, feedback en tiempo real).</v>
      </c>
      <c r="B28" s="84">
        <f>'Planeación y Costo ✓'!D40</f>
        <v>45941</v>
      </c>
      <c r="C28" s="84">
        <f>'Planeación y Costo ✓'!E40</f>
        <v>45949</v>
      </c>
      <c r="D28" s="85">
        <f>'Planeación y Costo ✓'!F40</f>
        <v>20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221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228"/>
      <c r="CJ28" s="109"/>
      <c r="CK28" s="109"/>
      <c r="CL28" s="228"/>
      <c r="CM28" s="228"/>
      <c r="CN28" s="228"/>
      <c r="CO28" s="228"/>
      <c r="CP28" s="228"/>
      <c r="CQ28" s="228"/>
      <c r="CR28" s="228"/>
      <c r="CS28" s="228"/>
      <c r="CT28" s="228"/>
      <c r="CU28" s="228"/>
      <c r="CV28" s="228"/>
      <c r="CW28" s="228"/>
      <c r="CX28" s="228"/>
      <c r="CY28" s="228"/>
      <c r="CZ28" s="228"/>
      <c r="DA28" s="228"/>
      <c r="DB28" s="228"/>
      <c r="DC28" s="228"/>
      <c r="DD28" s="228"/>
      <c r="DE28" s="228"/>
      <c r="DF28" s="228"/>
      <c r="DG28" s="228"/>
      <c r="DH28" s="228"/>
      <c r="DI28" s="228"/>
      <c r="DJ28" s="228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65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62"/>
      <c r="GL28" s="62"/>
      <c r="GM28" s="62"/>
      <c r="GN28" s="62"/>
      <c r="GO28" s="62"/>
      <c r="GP28" s="62"/>
      <c r="GQ28" s="62"/>
      <c r="GR28" s="62"/>
      <c r="GS28" s="62"/>
      <c r="GT28" s="62"/>
      <c r="GU28" s="62"/>
      <c r="GV28" s="62"/>
      <c r="GW28" s="62"/>
      <c r="GX28" s="62"/>
      <c r="GY28" s="62"/>
      <c r="GZ28" s="62"/>
      <c r="HA28" s="62"/>
      <c r="HB28" s="62"/>
      <c r="HC28" s="62"/>
      <c r="HD28" s="62"/>
      <c r="HE28" s="62"/>
      <c r="HF28" s="62"/>
      <c r="HG28" s="62"/>
      <c r="HH28" s="62"/>
      <c r="HI28" s="62"/>
      <c r="HJ28" s="62"/>
      <c r="HK28" s="62"/>
      <c r="HL28" s="62"/>
      <c r="HM28" s="62"/>
      <c r="HN28" s="62"/>
      <c r="HO28" s="62"/>
      <c r="HP28" s="62"/>
      <c r="HQ28" s="62"/>
      <c r="HR28" s="62"/>
      <c r="HS28" s="62"/>
      <c r="HT28" s="62"/>
      <c r="HU28" s="62"/>
      <c r="HV28" s="62"/>
      <c r="HW28" s="62"/>
      <c r="HX28" s="62"/>
      <c r="HY28" s="62"/>
      <c r="HZ28" s="62"/>
      <c r="IA28" s="62"/>
      <c r="IB28" s="62"/>
      <c r="IC28" s="62"/>
      <c r="ID28" s="62"/>
      <c r="IE28" s="62"/>
      <c r="IF28" s="62"/>
      <c r="IG28" s="62"/>
      <c r="IH28" s="62"/>
      <c r="II28" s="62"/>
      <c r="IJ28" s="62"/>
      <c r="IK28" s="62"/>
      <c r="IL28" s="62"/>
      <c r="IM28" s="62"/>
      <c r="IN28" s="62"/>
      <c r="IO28" s="62"/>
      <c r="IP28" s="62"/>
      <c r="IQ28" s="62"/>
      <c r="IR28" s="62"/>
      <c r="IS28" s="62"/>
      <c r="IT28" s="62"/>
      <c r="IU28" s="62"/>
      <c r="IV28" s="62"/>
      <c r="IW28" s="62"/>
      <c r="IX28" s="62"/>
      <c r="IY28" s="62"/>
      <c r="IZ28" s="62"/>
      <c r="JA28" s="62"/>
      <c r="JB28" s="62"/>
      <c r="JC28" s="62"/>
      <c r="JD28" s="62"/>
      <c r="JE28" s="62"/>
      <c r="JF28" s="62"/>
      <c r="JG28" s="62"/>
      <c r="JH28" s="62"/>
      <c r="JI28" s="62"/>
      <c r="JJ28" s="62"/>
      <c r="JK28" s="62"/>
      <c r="JL28" s="62"/>
      <c r="JM28" s="62"/>
      <c r="JN28" s="62"/>
      <c r="JO28" s="62"/>
      <c r="JP28" s="62"/>
      <c r="JQ28" s="62"/>
      <c r="JR28" s="62"/>
      <c r="JS28" s="62"/>
      <c r="JT28" s="62"/>
      <c r="JU28" s="62"/>
      <c r="JV28" s="62"/>
      <c r="JW28" s="62"/>
      <c r="JX28" s="62"/>
      <c r="JY28" s="62"/>
      <c r="JZ28" s="62"/>
      <c r="KA28" s="62"/>
      <c r="KB28" s="62"/>
      <c r="KC28" s="62"/>
      <c r="KD28" s="62"/>
      <c r="KE28" s="62"/>
      <c r="KF28" s="62"/>
      <c r="KG28" s="62"/>
      <c r="KH28" s="62"/>
      <c r="KI28" s="62"/>
      <c r="KJ28" s="62"/>
      <c r="KK28" s="62"/>
      <c r="KL28" s="62"/>
      <c r="KM28" s="62"/>
      <c r="KN28" s="62"/>
      <c r="KO28" s="62"/>
      <c r="KP28" s="62"/>
      <c r="KQ28" s="62"/>
      <c r="KR28" s="62"/>
      <c r="KS28" s="62"/>
      <c r="KT28" s="62"/>
      <c r="KU28" s="62"/>
      <c r="KV28" s="62"/>
      <c r="KW28" s="62"/>
      <c r="KX28" s="62"/>
      <c r="KY28" s="62"/>
      <c r="KZ28" s="62"/>
      <c r="LA28" s="62"/>
      <c r="LB28" s="62"/>
      <c r="LC28" s="62"/>
      <c r="LD28" s="62"/>
      <c r="LE28" s="62"/>
      <c r="LF28" s="62"/>
      <c r="LG28" s="62"/>
      <c r="LH28" s="62"/>
      <c r="LI28" s="62"/>
      <c r="LJ28" s="62"/>
      <c r="LK28" s="62"/>
      <c r="LL28" s="62"/>
      <c r="LM28" s="62"/>
      <c r="LN28" s="62"/>
      <c r="LO28" s="62"/>
      <c r="LP28" s="62"/>
      <c r="LQ28" s="62"/>
      <c r="LR28" s="62"/>
      <c r="LS28" s="62"/>
      <c r="LT28" s="62"/>
      <c r="LU28" s="62"/>
      <c r="LV28" s="62"/>
      <c r="LW28" s="62"/>
      <c r="LX28" s="62"/>
      <c r="LY28" s="62"/>
      <c r="LZ28" s="62"/>
      <c r="MA28" s="62"/>
      <c r="MB28" s="62"/>
      <c r="MC28" s="62"/>
      <c r="MD28" s="62"/>
      <c r="ME28" s="62"/>
      <c r="MF28" s="62"/>
      <c r="MG28" s="62"/>
      <c r="MH28" s="62"/>
      <c r="MI28" s="62"/>
      <c r="MJ28" s="62"/>
      <c r="MK28" s="62"/>
      <c r="ML28" s="62"/>
      <c r="MM28" s="62"/>
      <c r="MN28" s="62"/>
      <c r="MO28" s="62"/>
      <c r="MP28" s="62"/>
      <c r="MQ28" s="62"/>
      <c r="MR28" s="62"/>
      <c r="MS28" s="62"/>
      <c r="MT28" s="62"/>
      <c r="MU28" s="62"/>
      <c r="MV28" s="62"/>
      <c r="MW28" s="62"/>
      <c r="MX28" s="62"/>
      <c r="MY28" s="62"/>
      <c r="MZ28" s="62"/>
      <c r="NA28" s="62"/>
      <c r="NB28" s="62"/>
      <c r="NC28" s="62"/>
      <c r="ND28" s="62"/>
      <c r="NE28" s="62"/>
      <c r="NF28" s="62"/>
      <c r="NG28" s="62"/>
      <c r="NH28" s="62"/>
      <c r="NI28" s="62"/>
      <c r="NJ28" s="62"/>
      <c r="NK28" s="62"/>
      <c r="NL28" s="62"/>
      <c r="NM28" s="62"/>
      <c r="NN28" s="62"/>
      <c r="NO28" s="62"/>
      <c r="NP28" s="62"/>
      <c r="NQ28" s="62"/>
      <c r="NR28" s="62"/>
      <c r="NS28" s="62"/>
      <c r="NT28" s="62"/>
      <c r="NU28" s="62"/>
    </row>
    <row r="29" spans="1:385" ht="45" customHeight="1">
      <c r="A29" s="98" t="str">
        <f>'Planeación y Costo ✓'!C41</f>
        <v>2.2.2.3. Validación de contenidos con expertos en hardware/software (correctitud técnica y pedagógica).</v>
      </c>
      <c r="B29" s="99">
        <f>'Planeación y Costo ✓'!D41</f>
        <v>45950</v>
      </c>
      <c r="C29" s="99">
        <f>'Planeación y Costo ✓'!E41</f>
        <v>45955</v>
      </c>
      <c r="D29" s="100">
        <f>'Planeación y Costo ✓'!F41</f>
        <v>88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110"/>
      <c r="CC29" s="110"/>
      <c r="CD29" s="110"/>
      <c r="CE29" s="110"/>
      <c r="CF29" s="110"/>
      <c r="CG29" s="110"/>
      <c r="CH29" s="110"/>
      <c r="CI29" s="229"/>
      <c r="CJ29" s="229"/>
      <c r="CK29" s="229"/>
      <c r="CL29" s="229"/>
      <c r="CM29" s="229"/>
      <c r="CN29" s="229"/>
      <c r="CO29" s="229"/>
      <c r="CP29" s="229"/>
      <c r="CQ29" s="229"/>
      <c r="CR29" s="229"/>
      <c r="CS29" s="229"/>
      <c r="CT29" s="229"/>
      <c r="CU29" s="229"/>
      <c r="CV29" s="229"/>
      <c r="CW29" s="229"/>
      <c r="CX29" s="229"/>
      <c r="CY29" s="229"/>
      <c r="CZ29" s="229"/>
      <c r="DA29" s="229"/>
      <c r="DB29" s="229"/>
      <c r="DC29" s="229"/>
      <c r="DD29" s="229"/>
      <c r="DE29" s="229"/>
      <c r="DF29" s="229"/>
      <c r="DG29" s="229"/>
      <c r="DH29" s="229"/>
      <c r="DI29" s="229"/>
      <c r="DJ29" s="229"/>
      <c r="DK29" s="101"/>
      <c r="DL29" s="101"/>
      <c r="DM29" s="101"/>
      <c r="DN29" s="101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101"/>
      <c r="EA29" s="101"/>
      <c r="EB29" s="101"/>
      <c r="EC29" s="101"/>
      <c r="ED29" s="101"/>
      <c r="EE29" s="101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65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62"/>
      <c r="GL29" s="62"/>
      <c r="GM29" s="62"/>
      <c r="GN29" s="62"/>
      <c r="GO29" s="62"/>
      <c r="GP29" s="62"/>
      <c r="GQ29" s="62"/>
      <c r="GR29" s="62"/>
      <c r="GS29" s="62"/>
      <c r="GT29" s="62"/>
      <c r="GU29" s="62"/>
      <c r="GV29" s="62"/>
      <c r="GW29" s="62"/>
      <c r="GX29" s="62"/>
      <c r="GY29" s="62"/>
      <c r="GZ29" s="62"/>
      <c r="HA29" s="62"/>
      <c r="HB29" s="62"/>
      <c r="HC29" s="62"/>
      <c r="HD29" s="62"/>
      <c r="HE29" s="62"/>
      <c r="HF29" s="62"/>
      <c r="HG29" s="62"/>
      <c r="HH29" s="62"/>
      <c r="HI29" s="62"/>
      <c r="HJ29" s="62"/>
      <c r="HK29" s="62"/>
      <c r="HL29" s="62"/>
      <c r="HM29" s="62"/>
      <c r="HN29" s="62"/>
      <c r="HO29" s="62"/>
      <c r="HP29" s="62"/>
      <c r="HQ29" s="62"/>
      <c r="HR29" s="62"/>
      <c r="HS29" s="62"/>
      <c r="HT29" s="62"/>
      <c r="HU29" s="62"/>
      <c r="HV29" s="62"/>
      <c r="HW29" s="62"/>
      <c r="HX29" s="62"/>
      <c r="HY29" s="62"/>
      <c r="HZ29" s="62"/>
      <c r="IA29" s="62"/>
      <c r="IB29" s="62"/>
      <c r="IC29" s="62"/>
      <c r="ID29" s="62"/>
      <c r="IE29" s="62"/>
      <c r="IF29" s="62"/>
      <c r="IG29" s="62"/>
      <c r="IH29" s="62"/>
      <c r="II29" s="62"/>
      <c r="IJ29" s="62"/>
      <c r="IK29" s="62"/>
      <c r="IL29" s="62"/>
      <c r="IM29" s="62"/>
      <c r="IN29" s="62"/>
      <c r="IO29" s="62"/>
      <c r="IP29" s="62"/>
      <c r="IQ29" s="62"/>
      <c r="IR29" s="62"/>
      <c r="IS29" s="62"/>
      <c r="IT29" s="62"/>
      <c r="IU29" s="62"/>
      <c r="IV29" s="62"/>
      <c r="IW29" s="62"/>
      <c r="IX29" s="62"/>
      <c r="IY29" s="62"/>
      <c r="IZ29" s="62"/>
      <c r="JA29" s="62"/>
      <c r="JB29" s="62"/>
      <c r="JC29" s="62"/>
      <c r="JD29" s="62"/>
      <c r="JE29" s="62"/>
      <c r="JF29" s="62"/>
      <c r="JG29" s="62"/>
      <c r="JH29" s="62"/>
      <c r="JI29" s="62"/>
      <c r="JJ29" s="62"/>
      <c r="JK29" s="62"/>
      <c r="JL29" s="62"/>
      <c r="JM29" s="62"/>
      <c r="JN29" s="62"/>
      <c r="JO29" s="62"/>
      <c r="JP29" s="62"/>
      <c r="JQ29" s="62"/>
      <c r="JR29" s="62"/>
      <c r="JS29" s="62"/>
      <c r="JT29" s="62"/>
      <c r="JU29" s="62"/>
      <c r="JV29" s="62"/>
      <c r="JW29" s="62"/>
      <c r="JX29" s="62"/>
      <c r="JY29" s="62"/>
      <c r="JZ29" s="62"/>
      <c r="KA29" s="62"/>
      <c r="KB29" s="62"/>
      <c r="KC29" s="62"/>
      <c r="KD29" s="62"/>
      <c r="KE29" s="62"/>
      <c r="KF29" s="62"/>
      <c r="KG29" s="62"/>
      <c r="KH29" s="62"/>
      <c r="KI29" s="62"/>
      <c r="KJ29" s="62"/>
      <c r="KK29" s="62"/>
      <c r="KL29" s="62"/>
      <c r="KM29" s="62"/>
      <c r="KN29" s="62"/>
      <c r="KO29" s="62"/>
      <c r="KP29" s="62"/>
      <c r="KQ29" s="62"/>
      <c r="KR29" s="62"/>
      <c r="KS29" s="62"/>
      <c r="KT29" s="62"/>
      <c r="KU29" s="62"/>
      <c r="KV29" s="62"/>
      <c r="KW29" s="62"/>
      <c r="KX29" s="62"/>
      <c r="KY29" s="62"/>
      <c r="KZ29" s="62"/>
      <c r="LA29" s="62"/>
      <c r="LB29" s="62"/>
      <c r="LC29" s="62"/>
      <c r="LD29" s="62"/>
      <c r="LE29" s="62"/>
      <c r="LF29" s="62"/>
      <c r="LG29" s="62"/>
      <c r="LH29" s="62"/>
      <c r="LI29" s="62"/>
      <c r="LJ29" s="62"/>
      <c r="LK29" s="62"/>
      <c r="LL29" s="62"/>
      <c r="LM29" s="62"/>
      <c r="LN29" s="62"/>
      <c r="LO29" s="62"/>
      <c r="LP29" s="62"/>
      <c r="LQ29" s="62"/>
      <c r="LR29" s="62"/>
      <c r="LS29" s="62"/>
      <c r="LT29" s="62"/>
      <c r="LU29" s="62"/>
      <c r="LV29" s="62"/>
      <c r="LW29" s="62"/>
      <c r="LX29" s="62"/>
      <c r="LY29" s="62"/>
      <c r="LZ29" s="62"/>
      <c r="MA29" s="62"/>
      <c r="MB29" s="62"/>
      <c r="MC29" s="62"/>
      <c r="MD29" s="62"/>
      <c r="ME29" s="62"/>
      <c r="MF29" s="62"/>
      <c r="MG29" s="62"/>
      <c r="MH29" s="62"/>
      <c r="MI29" s="62"/>
      <c r="MJ29" s="62"/>
      <c r="MK29" s="62"/>
      <c r="ML29" s="62"/>
      <c r="MM29" s="62"/>
      <c r="MN29" s="62"/>
      <c r="MO29" s="62"/>
      <c r="MP29" s="62"/>
      <c r="MQ29" s="62"/>
      <c r="MR29" s="62"/>
      <c r="MS29" s="62"/>
      <c r="MT29" s="62"/>
      <c r="MU29" s="62"/>
      <c r="MV29" s="62"/>
      <c r="MW29" s="62"/>
      <c r="MX29" s="62"/>
      <c r="MY29" s="62"/>
      <c r="MZ29" s="62"/>
      <c r="NA29" s="62"/>
      <c r="NB29" s="62"/>
      <c r="NC29" s="62"/>
      <c r="ND29" s="62"/>
      <c r="NE29" s="62"/>
      <c r="NF29" s="62"/>
      <c r="NG29" s="62"/>
      <c r="NH29" s="62"/>
      <c r="NI29" s="62"/>
      <c r="NJ29" s="62"/>
      <c r="NK29" s="62"/>
      <c r="NL29" s="62"/>
      <c r="NM29" s="62"/>
      <c r="NN29" s="62"/>
      <c r="NO29" s="62"/>
      <c r="NP29" s="62"/>
      <c r="NQ29" s="62"/>
      <c r="NR29" s="62"/>
      <c r="NS29" s="62"/>
      <c r="NT29" s="62"/>
      <c r="NU29" s="62"/>
    </row>
    <row r="30" spans="1:385" ht="34.5" customHeight="1">
      <c r="A30" s="685" t="str">
        <f>'Planeación y Costo ✓'!C42</f>
        <v>2.3. Fase 3: Despliegue y Mantenimiento</v>
      </c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  <c r="M30" s="685"/>
      <c r="N30" s="685"/>
      <c r="O30" s="685"/>
      <c r="P30" s="685"/>
      <c r="Q30" s="685"/>
      <c r="R30" s="685"/>
      <c r="S30" s="685"/>
      <c r="T30" s="685"/>
      <c r="U30" s="685"/>
      <c r="V30" s="685"/>
      <c r="W30" s="685"/>
      <c r="X30" s="685"/>
      <c r="Y30" s="685"/>
      <c r="Z30" s="685"/>
      <c r="AA30" s="685"/>
      <c r="AB30" s="685"/>
      <c r="AC30" s="685"/>
      <c r="AD30" s="685"/>
      <c r="AE30" s="685"/>
      <c r="AF30" s="685"/>
      <c r="AG30" s="685"/>
      <c r="AH30" s="685"/>
      <c r="AI30" s="685"/>
      <c r="AJ30" s="685"/>
      <c r="AK30" s="685"/>
      <c r="AL30" s="685"/>
      <c r="AM30" s="685"/>
      <c r="AN30" s="685"/>
      <c r="AO30" s="685"/>
      <c r="AP30" s="685"/>
      <c r="AQ30" s="685"/>
      <c r="AR30" s="685"/>
      <c r="AS30" s="685"/>
      <c r="AT30" s="685"/>
      <c r="AU30" s="685"/>
      <c r="AV30" s="685"/>
      <c r="AW30" s="685"/>
      <c r="AX30" s="685"/>
      <c r="AY30" s="685"/>
      <c r="AZ30" s="685"/>
      <c r="BA30" s="685"/>
      <c r="BB30" s="685"/>
      <c r="BC30" s="685"/>
      <c r="BD30" s="685"/>
      <c r="BE30" s="685"/>
      <c r="BF30" s="685"/>
      <c r="BG30" s="685"/>
      <c r="BH30" s="685"/>
      <c r="BI30" s="685"/>
      <c r="BJ30" s="685"/>
      <c r="BK30" s="685"/>
      <c r="BL30" s="685"/>
      <c r="BM30" s="685"/>
      <c r="BN30" s="685"/>
      <c r="BO30" s="685"/>
      <c r="BP30" s="685"/>
      <c r="BQ30" s="685"/>
      <c r="BR30" s="685"/>
      <c r="BS30" s="685"/>
      <c r="BT30" s="685"/>
      <c r="BU30" s="685"/>
      <c r="BV30" s="685"/>
      <c r="BW30" s="685"/>
      <c r="BX30" s="685"/>
      <c r="BY30" s="685"/>
      <c r="BZ30" s="685"/>
      <c r="CA30" s="685"/>
      <c r="CB30" s="685"/>
      <c r="CC30" s="685"/>
      <c r="CD30" s="685"/>
      <c r="CE30" s="685"/>
      <c r="CF30" s="685"/>
      <c r="CG30" s="685"/>
      <c r="CH30" s="685"/>
      <c r="CI30" s="685"/>
      <c r="CJ30" s="685"/>
      <c r="CK30" s="685"/>
      <c r="CL30" s="687"/>
      <c r="CM30" s="687"/>
      <c r="CN30" s="687"/>
      <c r="CO30" s="687"/>
      <c r="CP30" s="687"/>
      <c r="CQ30" s="687"/>
      <c r="CR30" s="687"/>
      <c r="CS30" s="687"/>
      <c r="CT30" s="687"/>
      <c r="CU30" s="687"/>
      <c r="CV30" s="687"/>
      <c r="CW30" s="687"/>
      <c r="CX30" s="687"/>
      <c r="CY30" s="687"/>
      <c r="CZ30" s="687"/>
      <c r="DA30" s="687"/>
      <c r="DB30" s="687"/>
      <c r="DC30" s="687"/>
      <c r="DD30" s="687"/>
      <c r="DE30" s="687"/>
      <c r="DF30" s="687"/>
      <c r="DG30" s="687"/>
      <c r="DH30" s="687"/>
      <c r="DI30" s="687"/>
      <c r="DJ30" s="687"/>
      <c r="DK30" s="687"/>
      <c r="DL30" s="687"/>
      <c r="DM30" s="687"/>
      <c r="DN30" s="687"/>
      <c r="DO30" s="687"/>
      <c r="DP30" s="687"/>
      <c r="DQ30" s="687"/>
      <c r="DR30" s="687"/>
      <c r="DS30" s="687"/>
      <c r="DT30" s="687"/>
      <c r="DU30" s="687"/>
      <c r="DV30" s="687"/>
      <c r="DW30" s="687"/>
      <c r="DX30" s="687"/>
      <c r="DY30" s="687"/>
      <c r="DZ30" s="687"/>
      <c r="EA30" s="687"/>
      <c r="EB30" s="687"/>
      <c r="EC30" s="687"/>
      <c r="ED30" s="687"/>
      <c r="EE30" s="687"/>
      <c r="EF30" s="687"/>
      <c r="EG30" s="687"/>
      <c r="EH30" s="687"/>
      <c r="EI30" s="687"/>
      <c r="EJ30" s="687"/>
      <c r="EK30" s="687"/>
      <c r="EL30" s="687"/>
      <c r="EM30" s="687"/>
      <c r="EN30" s="687"/>
      <c r="EO30" s="687"/>
      <c r="EP30" s="687"/>
      <c r="EQ30" s="687"/>
      <c r="ER30" s="687"/>
      <c r="ES30" s="687"/>
      <c r="ET30" s="687"/>
      <c r="EU30" s="687"/>
      <c r="EV30" s="687"/>
      <c r="EW30" s="687"/>
      <c r="EX30" s="687"/>
      <c r="EY30" s="687"/>
      <c r="EZ30" s="687"/>
      <c r="FA30" s="687"/>
      <c r="FB30" s="65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  <c r="HW30" s="62"/>
      <c r="HX30" s="62"/>
      <c r="HY30" s="62"/>
      <c r="HZ30" s="62"/>
      <c r="IA30" s="62"/>
      <c r="IB30" s="62"/>
      <c r="IC30" s="62"/>
      <c r="ID30" s="62"/>
      <c r="IE30" s="62"/>
      <c r="IF30" s="62"/>
      <c r="IG30" s="62"/>
      <c r="IH30" s="62"/>
      <c r="II30" s="62"/>
      <c r="IJ30" s="62"/>
      <c r="IK30" s="62"/>
      <c r="IL30" s="62"/>
      <c r="IM30" s="62"/>
      <c r="IN30" s="62"/>
      <c r="IO30" s="62"/>
      <c r="IP30" s="62"/>
      <c r="IQ30" s="62"/>
      <c r="IR30" s="62"/>
      <c r="IS30" s="62"/>
      <c r="IT30" s="62"/>
      <c r="IU30" s="62"/>
      <c r="IV30" s="62"/>
      <c r="IW30" s="62"/>
      <c r="IX30" s="62"/>
      <c r="IY30" s="62"/>
      <c r="IZ30" s="62"/>
      <c r="JA30" s="62"/>
      <c r="JB30" s="62"/>
      <c r="JC30" s="62"/>
      <c r="JD30" s="62"/>
      <c r="JE30" s="62"/>
      <c r="JF30" s="62"/>
      <c r="JG30" s="62"/>
      <c r="JH30" s="62"/>
      <c r="JI30" s="62"/>
      <c r="JJ30" s="62"/>
      <c r="JK30" s="62"/>
      <c r="JL30" s="62"/>
      <c r="JM30" s="62"/>
      <c r="JN30" s="62"/>
      <c r="JO30" s="62"/>
      <c r="JP30" s="62"/>
      <c r="JQ30" s="62"/>
      <c r="JR30" s="62"/>
      <c r="JS30" s="62"/>
      <c r="JT30" s="62"/>
      <c r="JU30" s="62"/>
      <c r="JV30" s="62"/>
      <c r="JW30" s="62"/>
      <c r="JX30" s="62"/>
      <c r="JY30" s="62"/>
      <c r="JZ30" s="62"/>
      <c r="KA30" s="62"/>
      <c r="KB30" s="62"/>
      <c r="KC30" s="62"/>
      <c r="KD30" s="62"/>
      <c r="KE30" s="62"/>
      <c r="KF30" s="62"/>
      <c r="KG30" s="62"/>
      <c r="KH30" s="62"/>
      <c r="KI30" s="62"/>
      <c r="KJ30" s="62"/>
      <c r="KK30" s="62"/>
      <c r="KL30" s="62"/>
      <c r="KM30" s="62"/>
      <c r="KN30" s="62"/>
      <c r="KO30" s="62"/>
      <c r="KP30" s="62"/>
      <c r="KQ30" s="62"/>
      <c r="KR30" s="62"/>
      <c r="KS30" s="62"/>
      <c r="KT30" s="62"/>
      <c r="KU30" s="62"/>
      <c r="KV30" s="62"/>
      <c r="KW30" s="62"/>
      <c r="KX30" s="62"/>
      <c r="KY30" s="62"/>
      <c r="KZ30" s="62"/>
      <c r="LA30" s="62"/>
      <c r="LB30" s="62"/>
      <c r="LC30" s="62"/>
      <c r="LD30" s="62"/>
      <c r="LE30" s="62"/>
      <c r="LF30" s="62"/>
      <c r="LG30" s="62"/>
      <c r="LH30" s="62"/>
      <c r="LI30" s="62"/>
      <c r="LJ30" s="62"/>
      <c r="LK30" s="62"/>
      <c r="LL30" s="62"/>
      <c r="LM30" s="62"/>
      <c r="LN30" s="62"/>
      <c r="LO30" s="62"/>
      <c r="LP30" s="62"/>
      <c r="LQ30" s="62"/>
      <c r="LR30" s="62"/>
      <c r="LS30" s="62"/>
      <c r="LT30" s="62"/>
      <c r="LU30" s="62"/>
      <c r="LV30" s="62"/>
      <c r="LW30" s="62"/>
      <c r="LX30" s="62"/>
      <c r="LY30" s="62"/>
      <c r="LZ30" s="62"/>
      <c r="MA30" s="62"/>
      <c r="MB30" s="62"/>
      <c r="MC30" s="62"/>
      <c r="MD30" s="62"/>
      <c r="ME30" s="62"/>
      <c r="MF30" s="62"/>
      <c r="MG30" s="62"/>
      <c r="MH30" s="62"/>
      <c r="MI30" s="62"/>
      <c r="MJ30" s="62"/>
      <c r="MK30" s="62"/>
      <c r="ML30" s="62"/>
      <c r="MM30" s="62"/>
      <c r="MN30" s="62"/>
      <c r="MO30" s="62"/>
      <c r="MP30" s="62"/>
      <c r="MQ30" s="62"/>
      <c r="MR30" s="62"/>
      <c r="MS30" s="62"/>
      <c r="MT30" s="62"/>
      <c r="MU30" s="62"/>
      <c r="MV30" s="62"/>
      <c r="MW30" s="62"/>
      <c r="MX30" s="62"/>
      <c r="MY30" s="62"/>
      <c r="MZ30" s="62"/>
      <c r="NA30" s="62"/>
      <c r="NB30" s="62"/>
      <c r="NC30" s="62"/>
      <c r="ND30" s="62"/>
      <c r="NE30" s="62"/>
      <c r="NF30" s="62"/>
      <c r="NG30" s="62"/>
      <c r="NH30" s="62"/>
      <c r="NI30" s="62"/>
      <c r="NJ30" s="62"/>
      <c r="NK30" s="62"/>
      <c r="NL30" s="62"/>
      <c r="NM30" s="62"/>
      <c r="NN30" s="62"/>
      <c r="NO30" s="62"/>
      <c r="NP30" s="62"/>
      <c r="NQ30" s="62"/>
      <c r="NR30" s="62"/>
      <c r="NS30" s="62"/>
      <c r="NT30" s="62"/>
      <c r="NU30" s="62"/>
    </row>
    <row r="31" spans="1:385" ht="53.25" customHeight="1" outlineLevel="1">
      <c r="A31" s="102" t="str">
        <f>'Planeación y Costo ✓'!C43</f>
        <v>2.3.1.1. Configuración de servidores (AWS, Google Cloud, o on-premise) y despliegue de la plataforma.</v>
      </c>
      <c r="B31" s="96">
        <f>'Planeación y Costo ✓'!D43</f>
        <v>45956</v>
      </c>
      <c r="C31" s="96">
        <f>'Planeación y Costo ✓'!E43</f>
        <v>45961</v>
      </c>
      <c r="D31" s="103">
        <f>'Planeación y Costo ✓'!F43</f>
        <v>10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223"/>
      <c r="AR31" s="223"/>
      <c r="AS31" s="223"/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226"/>
      <c r="CI31" s="97"/>
      <c r="CJ31" s="97"/>
      <c r="CK31" s="226"/>
      <c r="CL31" s="86"/>
      <c r="CM31" s="86"/>
      <c r="CN31" s="86"/>
      <c r="CO31" s="230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09"/>
      <c r="DZ31" s="109"/>
      <c r="EA31" s="109"/>
      <c r="EB31" s="109"/>
      <c r="EC31" s="109"/>
      <c r="ED31" s="109"/>
      <c r="EE31" s="109"/>
      <c r="EF31" s="109"/>
      <c r="EG31" s="109"/>
      <c r="EH31" s="109"/>
      <c r="EI31" s="109"/>
      <c r="EJ31" s="109"/>
      <c r="EK31" s="109"/>
      <c r="EL31" s="109"/>
      <c r="EM31" s="109"/>
      <c r="EN31" s="109"/>
      <c r="EO31" s="109"/>
      <c r="EP31" s="109"/>
      <c r="EQ31" s="109"/>
      <c r="ER31" s="109"/>
      <c r="ES31" s="109"/>
      <c r="ET31" s="109"/>
      <c r="EU31" s="109"/>
      <c r="EV31" s="109"/>
      <c r="EW31" s="109"/>
      <c r="EX31" s="86"/>
      <c r="EY31" s="86"/>
      <c r="EZ31" s="86"/>
      <c r="FA31" s="86"/>
      <c r="FB31" s="65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62"/>
      <c r="GL31" s="62"/>
      <c r="GM31" s="62"/>
      <c r="GN31" s="62"/>
      <c r="GO31" s="62"/>
      <c r="GP31" s="62"/>
      <c r="GQ31" s="62"/>
      <c r="GR31" s="62"/>
      <c r="GS31" s="62"/>
      <c r="GT31" s="62"/>
      <c r="GU31" s="62"/>
      <c r="GV31" s="62"/>
      <c r="GW31" s="62"/>
      <c r="GX31" s="62"/>
      <c r="GY31" s="62"/>
      <c r="GZ31" s="62"/>
      <c r="HA31" s="62"/>
      <c r="HB31" s="62"/>
      <c r="HC31" s="62"/>
      <c r="HD31" s="62"/>
      <c r="HE31" s="62"/>
      <c r="HF31" s="62"/>
      <c r="HG31" s="62"/>
      <c r="HH31" s="62"/>
      <c r="HI31" s="62"/>
      <c r="HJ31" s="62"/>
      <c r="HK31" s="62"/>
      <c r="HL31" s="62"/>
      <c r="HM31" s="62"/>
      <c r="HN31" s="62"/>
      <c r="HO31" s="62"/>
      <c r="HP31" s="62"/>
      <c r="HQ31" s="62"/>
      <c r="HR31" s="62"/>
      <c r="HS31" s="62"/>
      <c r="HT31" s="62"/>
      <c r="HU31" s="62"/>
      <c r="HV31" s="62"/>
      <c r="HW31" s="62"/>
      <c r="HX31" s="62"/>
      <c r="HY31" s="62"/>
      <c r="HZ31" s="62"/>
      <c r="IA31" s="62"/>
      <c r="IB31" s="62"/>
      <c r="IC31" s="62"/>
      <c r="ID31" s="62"/>
      <c r="IE31" s="62"/>
      <c r="IF31" s="62"/>
      <c r="IG31" s="62"/>
      <c r="IH31" s="62"/>
      <c r="II31" s="62"/>
      <c r="IJ31" s="62"/>
      <c r="IK31" s="62"/>
      <c r="IL31" s="62"/>
      <c r="IM31" s="62"/>
      <c r="IN31" s="62"/>
      <c r="IO31" s="62"/>
      <c r="IP31" s="62"/>
      <c r="IQ31" s="62"/>
      <c r="IR31" s="62"/>
      <c r="IS31" s="62"/>
      <c r="IT31" s="62"/>
      <c r="IU31" s="62"/>
      <c r="IV31" s="62"/>
      <c r="IW31" s="62"/>
      <c r="IX31" s="62"/>
      <c r="IY31" s="62"/>
      <c r="IZ31" s="62"/>
      <c r="JA31" s="62"/>
      <c r="JB31" s="62"/>
      <c r="JC31" s="62"/>
      <c r="JD31" s="62"/>
      <c r="JE31" s="62"/>
      <c r="JF31" s="62"/>
      <c r="JG31" s="62"/>
      <c r="JH31" s="62"/>
      <c r="JI31" s="62"/>
      <c r="JJ31" s="62"/>
      <c r="JK31" s="62"/>
      <c r="JL31" s="62"/>
      <c r="JM31" s="62"/>
      <c r="JN31" s="62"/>
      <c r="JO31" s="62"/>
      <c r="JP31" s="62"/>
      <c r="JQ31" s="62"/>
      <c r="JR31" s="62"/>
      <c r="JS31" s="62"/>
      <c r="JT31" s="62"/>
      <c r="JU31" s="62"/>
      <c r="JV31" s="62"/>
      <c r="JW31" s="62"/>
      <c r="JX31" s="62"/>
      <c r="JY31" s="62"/>
      <c r="JZ31" s="62"/>
      <c r="KA31" s="62"/>
      <c r="KB31" s="62"/>
      <c r="KC31" s="62"/>
      <c r="KD31" s="62"/>
      <c r="KE31" s="62"/>
      <c r="KF31" s="62"/>
      <c r="KG31" s="62"/>
      <c r="KH31" s="62"/>
      <c r="KI31" s="62"/>
      <c r="KJ31" s="62"/>
      <c r="KK31" s="62"/>
      <c r="KL31" s="62"/>
      <c r="KM31" s="62"/>
      <c r="KN31" s="62"/>
      <c r="KO31" s="62"/>
      <c r="KP31" s="62"/>
      <c r="KQ31" s="62"/>
      <c r="KR31" s="62"/>
      <c r="KS31" s="62"/>
      <c r="KT31" s="62"/>
      <c r="KU31" s="62"/>
      <c r="KV31" s="62"/>
      <c r="KW31" s="62"/>
      <c r="KX31" s="62"/>
      <c r="KY31" s="62"/>
      <c r="KZ31" s="62"/>
      <c r="LA31" s="62"/>
      <c r="LB31" s="62"/>
      <c r="LC31" s="62"/>
      <c r="LD31" s="62"/>
      <c r="LE31" s="62"/>
      <c r="LF31" s="62"/>
      <c r="LG31" s="62"/>
      <c r="LH31" s="62"/>
      <c r="LI31" s="62"/>
      <c r="LJ31" s="62"/>
      <c r="LK31" s="62"/>
      <c r="LL31" s="62"/>
      <c r="LM31" s="62"/>
      <c r="LN31" s="62"/>
      <c r="LO31" s="62"/>
      <c r="LP31" s="62"/>
      <c r="LQ31" s="62"/>
      <c r="LR31" s="62"/>
      <c r="LS31" s="62"/>
      <c r="LT31" s="62"/>
      <c r="LU31" s="62"/>
      <c r="LV31" s="62"/>
      <c r="LW31" s="62"/>
      <c r="LX31" s="62"/>
      <c r="LY31" s="62"/>
      <c r="LZ31" s="62"/>
      <c r="MA31" s="62"/>
      <c r="MB31" s="62"/>
      <c r="MC31" s="62"/>
      <c r="MD31" s="62"/>
      <c r="ME31" s="62"/>
      <c r="MF31" s="62"/>
      <c r="MG31" s="62"/>
      <c r="MH31" s="62"/>
      <c r="MI31" s="62"/>
      <c r="MJ31" s="62"/>
      <c r="MK31" s="62"/>
      <c r="ML31" s="62"/>
      <c r="MM31" s="62"/>
      <c r="MN31" s="62"/>
      <c r="MO31" s="62"/>
      <c r="MP31" s="62"/>
      <c r="MQ31" s="62"/>
      <c r="MR31" s="62"/>
      <c r="MS31" s="62"/>
      <c r="MT31" s="62"/>
      <c r="MU31" s="62"/>
      <c r="MV31" s="62"/>
      <c r="MW31" s="62"/>
      <c r="MX31" s="62"/>
      <c r="MY31" s="62"/>
      <c r="MZ31" s="62"/>
      <c r="NA31" s="62"/>
      <c r="NB31" s="62"/>
      <c r="NC31" s="62"/>
      <c r="ND31" s="62"/>
      <c r="NE31" s="62"/>
      <c r="NF31" s="62"/>
      <c r="NG31" s="62"/>
      <c r="NH31" s="62"/>
      <c r="NI31" s="62"/>
      <c r="NJ31" s="62"/>
      <c r="NK31" s="62"/>
      <c r="NL31" s="62"/>
      <c r="NM31" s="62"/>
      <c r="NN31" s="62"/>
      <c r="NO31" s="62"/>
      <c r="NP31" s="62"/>
      <c r="NQ31" s="62"/>
      <c r="NR31" s="62"/>
      <c r="NS31" s="62"/>
      <c r="NT31" s="62"/>
      <c r="NU31" s="62"/>
    </row>
    <row r="32" spans="1:385" ht="60" customHeight="1" outlineLevel="2">
      <c r="A32" s="90" t="str">
        <f>'Planeación y Costo ✓'!C44</f>
        <v>2.3.1.2. Implementación de CDN y seguridad básica (HTTPS, firewall, backups automáticos).</v>
      </c>
      <c r="B32" s="84">
        <f>'Planeación y Costo ✓'!D44</f>
        <v>45962</v>
      </c>
      <c r="C32" s="99">
        <f>'Planeación y Costo ✓'!E44</f>
        <v>45983</v>
      </c>
      <c r="D32" s="91">
        <f>'Planeación y Costo ✓'!F44</f>
        <v>42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227"/>
      <c r="CI32" s="86"/>
      <c r="CJ32" s="86"/>
      <c r="CK32" s="227"/>
      <c r="CL32" s="86"/>
      <c r="CM32" s="86"/>
      <c r="CN32" s="86"/>
      <c r="CO32" s="230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  <c r="DB32" s="86"/>
      <c r="DC32" s="86"/>
      <c r="DD32" s="86"/>
      <c r="DE32" s="86"/>
      <c r="DF32" s="86"/>
      <c r="DG32" s="86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09"/>
      <c r="DZ32" s="109"/>
      <c r="EA32" s="109"/>
      <c r="EB32" s="109"/>
      <c r="EC32" s="109"/>
      <c r="ED32" s="109"/>
      <c r="EE32" s="109"/>
      <c r="EF32" s="109"/>
      <c r="EG32" s="109"/>
      <c r="EH32" s="109"/>
      <c r="EI32" s="109"/>
      <c r="EJ32" s="109"/>
      <c r="EK32" s="109"/>
      <c r="EL32" s="109"/>
      <c r="EM32" s="109"/>
      <c r="EN32" s="109"/>
      <c r="EO32" s="109"/>
      <c r="EP32" s="109"/>
      <c r="EQ32" s="109"/>
      <c r="ER32" s="109"/>
      <c r="ES32" s="109"/>
      <c r="ET32" s="109"/>
      <c r="EU32" s="109"/>
      <c r="EV32" s="109"/>
      <c r="EW32" s="109"/>
      <c r="EX32" s="86"/>
      <c r="EY32" s="86"/>
      <c r="EZ32" s="86"/>
      <c r="FA32" s="86"/>
      <c r="FB32" s="65"/>
      <c r="FC32" s="62"/>
      <c r="FD32" s="62"/>
      <c r="FE32" s="62"/>
      <c r="FF32" s="62"/>
      <c r="FG32" s="62"/>
      <c r="FH32" s="62"/>
      <c r="FI32" s="62"/>
      <c r="FJ32" s="62"/>
      <c r="FK32" s="62"/>
      <c r="FL32" s="62"/>
      <c r="FM32" s="62"/>
      <c r="FN32" s="62"/>
      <c r="FO32" s="62"/>
      <c r="FP32" s="62"/>
      <c r="FQ32" s="62"/>
      <c r="FR32" s="62"/>
      <c r="FS32" s="62"/>
      <c r="FT32" s="62"/>
      <c r="FU32" s="62"/>
      <c r="FV32" s="62"/>
      <c r="FW32" s="62"/>
      <c r="FX32" s="62"/>
      <c r="FY32" s="62"/>
      <c r="FZ32" s="62"/>
      <c r="GA32" s="62"/>
      <c r="GB32" s="62"/>
      <c r="GC32" s="62"/>
      <c r="GD32" s="62"/>
      <c r="GE32" s="62"/>
      <c r="GF32" s="62"/>
      <c r="GG32" s="62"/>
      <c r="GH32" s="62"/>
      <c r="GI32" s="62"/>
      <c r="GJ32" s="62"/>
      <c r="GK32" s="62"/>
      <c r="GL32" s="62"/>
      <c r="GM32" s="62"/>
      <c r="GN32" s="62"/>
      <c r="GO32" s="62"/>
      <c r="GP32" s="62"/>
      <c r="GQ32" s="62"/>
      <c r="GR32" s="62"/>
      <c r="GS32" s="62"/>
      <c r="GT32" s="62"/>
      <c r="GU32" s="62"/>
      <c r="GV32" s="62"/>
      <c r="GW32" s="62"/>
      <c r="GX32" s="62"/>
      <c r="GY32" s="62"/>
      <c r="GZ32" s="62"/>
      <c r="HA32" s="62"/>
      <c r="HB32" s="62"/>
      <c r="HC32" s="62"/>
      <c r="HD32" s="62"/>
      <c r="HE32" s="62"/>
      <c r="HF32" s="62"/>
      <c r="HG32" s="62"/>
      <c r="HH32" s="62"/>
      <c r="HI32" s="62"/>
      <c r="HJ32" s="62"/>
      <c r="HK32" s="62"/>
      <c r="HL32" s="62"/>
      <c r="HM32" s="62"/>
      <c r="HN32" s="62"/>
      <c r="HO32" s="62"/>
      <c r="HP32" s="62"/>
      <c r="HQ32" s="62"/>
      <c r="HR32" s="62"/>
      <c r="HS32" s="62"/>
      <c r="HT32" s="62"/>
      <c r="HU32" s="62"/>
      <c r="HV32" s="62"/>
      <c r="HW32" s="62"/>
      <c r="HX32" s="62"/>
      <c r="HY32" s="62"/>
      <c r="HZ32" s="62"/>
      <c r="IA32" s="62"/>
      <c r="IB32" s="62"/>
      <c r="IC32" s="62"/>
      <c r="ID32" s="62"/>
      <c r="IE32" s="62"/>
      <c r="IF32" s="62"/>
      <c r="IG32" s="62"/>
      <c r="IH32" s="62"/>
      <c r="II32" s="62"/>
      <c r="IJ32" s="62"/>
      <c r="IK32" s="62"/>
      <c r="IL32" s="62"/>
      <c r="IM32" s="62"/>
      <c r="IN32" s="62"/>
      <c r="IO32" s="62"/>
      <c r="IP32" s="62"/>
      <c r="IQ32" s="62"/>
      <c r="IR32" s="62"/>
      <c r="IS32" s="62"/>
      <c r="IT32" s="62"/>
      <c r="IU32" s="62"/>
      <c r="IV32" s="62"/>
      <c r="IW32" s="62"/>
      <c r="IX32" s="62"/>
      <c r="IY32" s="62"/>
      <c r="IZ32" s="62"/>
      <c r="JA32" s="62"/>
      <c r="JB32" s="62"/>
      <c r="JC32" s="62"/>
      <c r="JD32" s="62"/>
      <c r="JE32" s="62"/>
      <c r="JF32" s="62"/>
      <c r="JG32" s="62"/>
      <c r="JH32" s="62"/>
      <c r="JI32" s="62"/>
      <c r="JJ32" s="62"/>
      <c r="JK32" s="62"/>
      <c r="JL32" s="62"/>
      <c r="JM32" s="62"/>
      <c r="JN32" s="62"/>
      <c r="JO32" s="62"/>
      <c r="JP32" s="62"/>
      <c r="JQ32" s="62"/>
      <c r="JR32" s="62"/>
      <c r="JS32" s="62"/>
      <c r="JT32" s="62"/>
      <c r="JU32" s="62"/>
      <c r="JV32" s="62"/>
      <c r="JW32" s="62"/>
      <c r="JX32" s="62"/>
      <c r="JY32" s="62"/>
      <c r="JZ32" s="62"/>
      <c r="KA32" s="62"/>
      <c r="KB32" s="62"/>
      <c r="KC32" s="62"/>
      <c r="KD32" s="62"/>
      <c r="KE32" s="62"/>
      <c r="KF32" s="62"/>
      <c r="KG32" s="62"/>
      <c r="KH32" s="62"/>
      <c r="KI32" s="62"/>
      <c r="KJ32" s="62"/>
      <c r="KK32" s="62"/>
      <c r="KL32" s="62"/>
      <c r="KM32" s="62"/>
      <c r="KN32" s="62"/>
      <c r="KO32" s="62"/>
      <c r="KP32" s="62"/>
      <c r="KQ32" s="62"/>
      <c r="KR32" s="62"/>
      <c r="KS32" s="62"/>
      <c r="KT32" s="62"/>
      <c r="KU32" s="62"/>
      <c r="KV32" s="62"/>
      <c r="KW32" s="62"/>
      <c r="KX32" s="62"/>
      <c r="KY32" s="62"/>
      <c r="KZ32" s="62"/>
      <c r="LA32" s="62"/>
      <c r="LB32" s="62"/>
      <c r="LC32" s="62"/>
      <c r="LD32" s="62"/>
      <c r="LE32" s="62"/>
      <c r="LF32" s="62"/>
      <c r="LG32" s="62"/>
      <c r="LH32" s="62"/>
      <c r="LI32" s="62"/>
      <c r="LJ32" s="62"/>
      <c r="LK32" s="62"/>
      <c r="LL32" s="62"/>
      <c r="LM32" s="62"/>
      <c r="LN32" s="62"/>
      <c r="LO32" s="62"/>
      <c r="LP32" s="62"/>
      <c r="LQ32" s="62"/>
      <c r="LR32" s="62"/>
      <c r="LS32" s="62"/>
      <c r="LT32" s="62"/>
      <c r="LU32" s="62"/>
      <c r="LV32" s="62"/>
      <c r="LW32" s="62"/>
      <c r="LX32" s="62"/>
      <c r="LY32" s="62"/>
      <c r="LZ32" s="62"/>
      <c r="MA32" s="62"/>
      <c r="MB32" s="62"/>
      <c r="MC32" s="62"/>
      <c r="MD32" s="62"/>
      <c r="ME32" s="62"/>
      <c r="MF32" s="62"/>
      <c r="MG32" s="62"/>
      <c r="MH32" s="62"/>
      <c r="MI32" s="62"/>
      <c r="MJ32" s="62"/>
      <c r="MK32" s="62"/>
      <c r="ML32" s="62"/>
      <c r="MM32" s="62"/>
      <c r="MN32" s="62"/>
      <c r="MO32" s="62"/>
      <c r="MP32" s="62"/>
      <c r="MQ32" s="62"/>
      <c r="MR32" s="62"/>
      <c r="MS32" s="62"/>
      <c r="MT32" s="62"/>
      <c r="MU32" s="62"/>
      <c r="MV32" s="62"/>
      <c r="MW32" s="62"/>
      <c r="MX32" s="62"/>
      <c r="MY32" s="62"/>
      <c r="MZ32" s="62"/>
      <c r="NA32" s="62"/>
      <c r="NB32" s="62"/>
      <c r="NC32" s="62"/>
      <c r="ND32" s="62"/>
      <c r="NE32" s="62"/>
      <c r="NF32" s="62"/>
      <c r="NG32" s="62"/>
      <c r="NH32" s="62"/>
      <c r="NI32" s="62"/>
      <c r="NJ32" s="62"/>
      <c r="NK32" s="62"/>
      <c r="NL32" s="62"/>
      <c r="NM32" s="62"/>
      <c r="NN32" s="62"/>
      <c r="NO32" s="62"/>
      <c r="NP32" s="62"/>
      <c r="NQ32" s="62"/>
      <c r="NR32" s="62"/>
      <c r="NS32" s="62"/>
      <c r="NT32" s="62"/>
      <c r="NU32" s="62"/>
    </row>
    <row r="33" spans="1:385" ht="60" outlineLevel="2">
      <c r="A33" s="90" t="str">
        <f>'Planeación y Costo ✓'!C45</f>
        <v>2.3.2.3. Actualización periódica de contenidos y tecnologías (ej: nuevos modelos de hardware, frameworks actualizados).</v>
      </c>
      <c r="B33" s="224">
        <f>'Planeación y Costo ✓'!D45</f>
        <v>45984</v>
      </c>
      <c r="C33" s="84">
        <f>'Planeación y Costo ✓'!E45</f>
        <v>45991</v>
      </c>
      <c r="D33" s="225">
        <f>'Planeación y Costo ✓'!F45</f>
        <v>14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227"/>
      <c r="CI33" s="86"/>
      <c r="CJ33" s="86"/>
      <c r="CK33" s="227"/>
      <c r="CL33" s="86"/>
      <c r="CM33" s="86"/>
      <c r="CN33" s="86"/>
      <c r="CO33" s="230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  <c r="DD33" s="86"/>
      <c r="DE33" s="86"/>
      <c r="DF33" s="86"/>
      <c r="DG33" s="86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09"/>
      <c r="DZ33" s="109"/>
      <c r="EA33" s="109"/>
      <c r="EB33" s="109"/>
      <c r="EC33" s="109"/>
      <c r="ED33" s="109"/>
      <c r="EE33" s="109"/>
      <c r="EF33" s="109"/>
      <c r="EG33" s="109"/>
      <c r="EH33" s="109"/>
      <c r="EI33" s="109"/>
      <c r="EJ33" s="109"/>
      <c r="EK33" s="109"/>
      <c r="EL33" s="109"/>
      <c r="EM33" s="109"/>
      <c r="EN33" s="109"/>
      <c r="EO33" s="109"/>
      <c r="EP33" s="109"/>
      <c r="EQ33" s="109"/>
      <c r="ER33" s="109"/>
      <c r="ES33" s="109"/>
      <c r="ET33" s="109"/>
      <c r="EU33" s="109"/>
      <c r="EV33" s="109"/>
      <c r="EW33" s="109"/>
      <c r="EX33" s="86"/>
      <c r="EY33" s="86"/>
      <c r="EZ33" s="86"/>
      <c r="FA33" s="86"/>
      <c r="FB33" s="65"/>
      <c r="FC33" s="62"/>
      <c r="FD33" s="62"/>
      <c r="FE33" s="62"/>
      <c r="FF33" s="62"/>
      <c r="FG33" s="62"/>
      <c r="FH33" s="62"/>
      <c r="FI33" s="62"/>
      <c r="FJ33" s="62"/>
      <c r="FK33" s="62"/>
      <c r="FL33" s="62"/>
      <c r="FM33" s="62"/>
      <c r="FN33" s="62"/>
      <c r="FO33" s="62"/>
      <c r="FP33" s="62"/>
      <c r="FQ33" s="62"/>
      <c r="FR33" s="62"/>
      <c r="FS33" s="62"/>
      <c r="FT33" s="62"/>
      <c r="FU33" s="62"/>
      <c r="FV33" s="62"/>
      <c r="FW33" s="62"/>
      <c r="FX33" s="62"/>
      <c r="FY33" s="62"/>
      <c r="FZ33" s="62"/>
      <c r="GA33" s="62"/>
      <c r="GB33" s="62"/>
      <c r="GC33" s="62"/>
      <c r="GD33" s="62"/>
      <c r="GE33" s="62"/>
      <c r="GF33" s="62"/>
      <c r="GG33" s="62"/>
      <c r="GH33" s="62"/>
      <c r="GI33" s="62"/>
      <c r="GJ33" s="62"/>
      <c r="GK33" s="62"/>
      <c r="GL33" s="62"/>
      <c r="GM33" s="62"/>
      <c r="GN33" s="62"/>
      <c r="GO33" s="62"/>
      <c r="GP33" s="62"/>
      <c r="GQ33" s="62"/>
      <c r="GR33" s="62"/>
      <c r="GS33" s="62"/>
      <c r="GT33" s="62"/>
      <c r="GU33" s="62"/>
      <c r="GV33" s="62"/>
      <c r="GW33" s="62"/>
      <c r="GX33" s="62"/>
      <c r="GY33" s="62"/>
      <c r="GZ33" s="62"/>
      <c r="HA33" s="62"/>
      <c r="HB33" s="62"/>
      <c r="HC33" s="62"/>
      <c r="HD33" s="62"/>
      <c r="HE33" s="62"/>
      <c r="HF33" s="62"/>
      <c r="HG33" s="62"/>
      <c r="HH33" s="62"/>
      <c r="HI33" s="62"/>
      <c r="HJ33" s="62"/>
      <c r="HK33" s="62"/>
      <c r="HL33" s="62"/>
      <c r="HM33" s="62"/>
      <c r="HN33" s="62"/>
      <c r="HO33" s="62"/>
      <c r="HP33" s="62"/>
      <c r="HQ33" s="62"/>
      <c r="HR33" s="62"/>
      <c r="HS33" s="62"/>
      <c r="HT33" s="62"/>
      <c r="HU33" s="62"/>
      <c r="HV33" s="62"/>
      <c r="HW33" s="62"/>
      <c r="HX33" s="62"/>
      <c r="HY33" s="62"/>
      <c r="HZ33" s="62"/>
      <c r="IA33" s="62"/>
      <c r="IB33" s="62"/>
      <c r="IC33" s="62"/>
      <c r="ID33" s="62"/>
      <c r="IE33" s="62"/>
      <c r="IF33" s="62"/>
      <c r="IG33" s="62"/>
      <c r="IH33" s="62"/>
      <c r="II33" s="62"/>
      <c r="IJ33" s="62"/>
      <c r="IK33" s="62"/>
      <c r="IL33" s="62"/>
      <c r="IM33" s="62"/>
      <c r="IN33" s="62"/>
      <c r="IO33" s="62"/>
      <c r="IP33" s="62"/>
      <c r="IQ33" s="62"/>
      <c r="IR33" s="62"/>
      <c r="IS33" s="62"/>
      <c r="IT33" s="62"/>
      <c r="IU33" s="62"/>
      <c r="IV33" s="62"/>
      <c r="IW33" s="62"/>
      <c r="IX33" s="62"/>
      <c r="IY33" s="62"/>
      <c r="IZ33" s="62"/>
      <c r="JA33" s="62"/>
      <c r="JB33" s="62"/>
      <c r="JC33" s="62"/>
      <c r="JD33" s="62"/>
      <c r="JE33" s="62"/>
      <c r="JF33" s="62"/>
      <c r="JG33" s="62"/>
      <c r="JH33" s="62"/>
      <c r="JI33" s="62"/>
      <c r="JJ33" s="62"/>
      <c r="JK33" s="62"/>
      <c r="JL33" s="62"/>
      <c r="JM33" s="62"/>
      <c r="JN33" s="62"/>
      <c r="JO33" s="62"/>
      <c r="JP33" s="62"/>
      <c r="JQ33" s="62"/>
      <c r="JR33" s="62"/>
      <c r="JS33" s="62"/>
      <c r="JT33" s="62"/>
      <c r="JU33" s="62"/>
      <c r="JV33" s="62"/>
      <c r="JW33" s="62"/>
      <c r="JX33" s="62"/>
      <c r="JY33" s="62"/>
      <c r="JZ33" s="62"/>
      <c r="KA33" s="62"/>
      <c r="KB33" s="62"/>
      <c r="KC33" s="62"/>
      <c r="KD33" s="62"/>
      <c r="KE33" s="62"/>
      <c r="KF33" s="62"/>
      <c r="KG33" s="62"/>
      <c r="KH33" s="62"/>
      <c r="KI33" s="62"/>
      <c r="KJ33" s="62"/>
      <c r="KK33" s="62"/>
      <c r="KL33" s="62"/>
      <c r="KM33" s="62"/>
      <c r="KN33" s="62"/>
      <c r="KO33" s="62"/>
      <c r="KP33" s="62"/>
      <c r="KQ33" s="62"/>
      <c r="KR33" s="62"/>
      <c r="KS33" s="62"/>
      <c r="KT33" s="62"/>
      <c r="KU33" s="62"/>
      <c r="KV33" s="62"/>
      <c r="KW33" s="62"/>
      <c r="KX33" s="62"/>
      <c r="KY33" s="62"/>
      <c r="KZ33" s="62"/>
      <c r="LA33" s="62"/>
      <c r="LB33" s="62"/>
      <c r="LC33" s="62"/>
      <c r="LD33" s="62"/>
      <c r="LE33" s="62"/>
      <c r="LF33" s="62"/>
      <c r="LG33" s="62"/>
      <c r="LH33" s="62"/>
      <c r="LI33" s="62"/>
      <c r="LJ33" s="62"/>
      <c r="LK33" s="62"/>
      <c r="LL33" s="62"/>
      <c r="LM33" s="62"/>
      <c r="LN33" s="62"/>
      <c r="LO33" s="62"/>
      <c r="LP33" s="62"/>
      <c r="LQ33" s="62"/>
      <c r="LR33" s="62"/>
      <c r="LS33" s="62"/>
      <c r="LT33" s="62"/>
      <c r="LU33" s="62"/>
      <c r="LV33" s="62"/>
      <c r="LW33" s="62"/>
      <c r="LX33" s="62"/>
      <c r="LY33" s="62"/>
      <c r="LZ33" s="62"/>
      <c r="MA33" s="62"/>
      <c r="MB33" s="62"/>
      <c r="MC33" s="62"/>
      <c r="MD33" s="62"/>
      <c r="ME33" s="62"/>
      <c r="MF33" s="62"/>
      <c r="MG33" s="62"/>
      <c r="MH33" s="62"/>
      <c r="MI33" s="62"/>
      <c r="MJ33" s="62"/>
      <c r="MK33" s="62"/>
      <c r="ML33" s="62"/>
      <c r="MM33" s="62"/>
      <c r="MN33" s="62"/>
      <c r="MO33" s="62"/>
      <c r="MP33" s="62"/>
      <c r="MQ33" s="62"/>
      <c r="MR33" s="62"/>
      <c r="MS33" s="62"/>
      <c r="MT33" s="62"/>
      <c r="MU33" s="62"/>
      <c r="MV33" s="62"/>
      <c r="MW33" s="62"/>
      <c r="MX33" s="62"/>
      <c r="MY33" s="62"/>
      <c r="MZ33" s="62"/>
      <c r="NA33" s="62"/>
      <c r="NB33" s="62"/>
      <c r="NC33" s="62"/>
      <c r="ND33" s="62"/>
      <c r="NE33" s="62"/>
      <c r="NF33" s="62"/>
      <c r="NG33" s="62"/>
      <c r="NH33" s="62"/>
      <c r="NI33" s="62"/>
      <c r="NJ33" s="62"/>
      <c r="NK33" s="62"/>
      <c r="NL33" s="62"/>
      <c r="NM33" s="62"/>
      <c r="NN33" s="62"/>
      <c r="NO33" s="62"/>
      <c r="NP33" s="62"/>
      <c r="NQ33" s="62"/>
      <c r="NR33" s="62"/>
      <c r="NS33" s="62"/>
      <c r="NT33" s="62"/>
      <c r="NU33" s="62"/>
    </row>
    <row r="34" spans="1:385" ht="14.25" customHeight="1">
      <c r="A34" s="50"/>
      <c r="B34" s="50"/>
      <c r="C34" s="50"/>
      <c r="D34" s="92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62"/>
      <c r="FC34" s="62"/>
      <c r="FD34" s="62"/>
      <c r="FE34" s="62"/>
      <c r="FF34" s="62"/>
      <c r="FG34" s="62"/>
      <c r="FH34" s="62"/>
      <c r="FI34" s="62"/>
      <c r="FJ34" s="62"/>
      <c r="FK34" s="62"/>
      <c r="FL34" s="62"/>
      <c r="FM34" s="62"/>
      <c r="FN34" s="62"/>
      <c r="FO34" s="62"/>
      <c r="FP34" s="62"/>
      <c r="FQ34" s="62"/>
      <c r="FR34" s="62"/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62"/>
      <c r="GL34" s="62"/>
      <c r="GM34" s="62"/>
      <c r="GN34" s="62"/>
      <c r="GO34" s="62"/>
      <c r="GP34" s="62"/>
      <c r="GQ34" s="62"/>
      <c r="GR34" s="62"/>
      <c r="GS34" s="62"/>
      <c r="GT34" s="62"/>
      <c r="GU34" s="62"/>
      <c r="GV34" s="62"/>
      <c r="GW34" s="62"/>
      <c r="GX34" s="62"/>
      <c r="GY34" s="62"/>
      <c r="GZ34" s="62"/>
      <c r="HA34" s="62"/>
      <c r="HB34" s="62"/>
      <c r="HC34" s="62"/>
      <c r="HD34" s="62"/>
      <c r="HE34" s="62"/>
      <c r="HF34" s="62"/>
      <c r="HG34" s="62"/>
      <c r="HH34" s="62"/>
      <c r="HI34" s="62"/>
      <c r="HJ34" s="62"/>
      <c r="HK34" s="62"/>
      <c r="HL34" s="62"/>
      <c r="HM34" s="62"/>
      <c r="HN34" s="62"/>
      <c r="HO34" s="62"/>
      <c r="HP34" s="62"/>
      <c r="HQ34" s="62"/>
      <c r="HR34" s="62"/>
      <c r="HS34" s="62"/>
      <c r="HT34" s="62"/>
      <c r="HU34" s="62"/>
      <c r="HV34" s="62"/>
      <c r="HW34" s="62"/>
      <c r="HX34" s="62"/>
      <c r="HY34" s="62"/>
      <c r="HZ34" s="62"/>
      <c r="IA34" s="62"/>
      <c r="IB34" s="62"/>
      <c r="IC34" s="62"/>
      <c r="ID34" s="62"/>
      <c r="IE34" s="62"/>
      <c r="IF34" s="62"/>
      <c r="IG34" s="62"/>
      <c r="IH34" s="62"/>
      <c r="II34" s="62"/>
      <c r="IJ34" s="62"/>
      <c r="IK34" s="62"/>
      <c r="IL34" s="62"/>
      <c r="IM34" s="62"/>
      <c r="IN34" s="62"/>
      <c r="IO34" s="62"/>
      <c r="IP34" s="62"/>
      <c r="IQ34" s="62"/>
      <c r="IR34" s="62"/>
      <c r="IS34" s="62"/>
      <c r="IT34" s="62"/>
      <c r="IU34" s="62"/>
      <c r="IV34" s="62"/>
      <c r="IW34" s="62"/>
      <c r="IX34" s="62"/>
      <c r="IY34" s="62"/>
      <c r="IZ34" s="62"/>
      <c r="JA34" s="62"/>
      <c r="JB34" s="62"/>
      <c r="JC34" s="62"/>
      <c r="JD34" s="62"/>
      <c r="JE34" s="62"/>
      <c r="JF34" s="62"/>
      <c r="JG34" s="62"/>
      <c r="JH34" s="62"/>
      <c r="JI34" s="62"/>
      <c r="JJ34" s="62"/>
      <c r="JK34" s="62"/>
      <c r="JL34" s="62"/>
      <c r="JM34" s="62"/>
      <c r="JN34" s="62"/>
      <c r="JO34" s="62"/>
      <c r="JP34" s="62"/>
      <c r="JQ34" s="62"/>
      <c r="JR34" s="62"/>
      <c r="JS34" s="62"/>
      <c r="JT34" s="62"/>
      <c r="JU34" s="62"/>
      <c r="JV34" s="62"/>
      <c r="JW34" s="62"/>
      <c r="JX34" s="62"/>
      <c r="JY34" s="62"/>
      <c r="JZ34" s="62"/>
      <c r="KA34" s="62"/>
      <c r="KB34" s="62"/>
      <c r="KC34" s="62"/>
      <c r="KD34" s="62"/>
      <c r="KE34" s="62"/>
      <c r="KF34" s="62"/>
      <c r="KG34" s="62"/>
      <c r="KH34" s="62"/>
      <c r="KI34" s="62"/>
      <c r="KJ34" s="62"/>
      <c r="KK34" s="62"/>
      <c r="KL34" s="62"/>
      <c r="KM34" s="62"/>
      <c r="KN34" s="62"/>
      <c r="KO34" s="62"/>
      <c r="KP34" s="62"/>
      <c r="KQ34" s="62"/>
      <c r="KR34" s="62"/>
      <c r="KS34" s="62"/>
      <c r="KT34" s="62"/>
      <c r="KU34" s="62"/>
      <c r="KV34" s="62"/>
      <c r="KW34" s="62"/>
      <c r="KX34" s="62"/>
      <c r="KY34" s="62"/>
      <c r="KZ34" s="62"/>
      <c r="LA34" s="62"/>
      <c r="LB34" s="62"/>
      <c r="LC34" s="62"/>
      <c r="LD34" s="62"/>
      <c r="LE34" s="62"/>
      <c r="LF34" s="62"/>
      <c r="LG34" s="62"/>
      <c r="LH34" s="62"/>
      <c r="LI34" s="62"/>
      <c r="LJ34" s="62"/>
      <c r="LK34" s="62"/>
      <c r="LL34" s="62"/>
      <c r="LM34" s="62"/>
      <c r="LN34" s="62"/>
      <c r="LO34" s="62"/>
      <c r="LP34" s="62"/>
      <c r="LQ34" s="62"/>
      <c r="LR34" s="62"/>
      <c r="LS34" s="62"/>
      <c r="LT34" s="62"/>
      <c r="LU34" s="62"/>
      <c r="LV34" s="62"/>
      <c r="LW34" s="62"/>
      <c r="LX34" s="62"/>
      <c r="LY34" s="62"/>
      <c r="LZ34" s="62"/>
      <c r="MA34" s="62"/>
      <c r="MB34" s="62"/>
      <c r="MC34" s="62"/>
      <c r="MD34" s="62"/>
      <c r="ME34" s="62"/>
      <c r="MF34" s="62"/>
      <c r="MG34" s="62"/>
      <c r="MH34" s="62"/>
      <c r="MI34" s="62"/>
      <c r="MJ34" s="62"/>
      <c r="MK34" s="62"/>
      <c r="ML34" s="62"/>
      <c r="MM34" s="62"/>
      <c r="MN34" s="62"/>
      <c r="MO34" s="62"/>
      <c r="MP34" s="62"/>
      <c r="MQ34" s="62"/>
      <c r="MR34" s="62"/>
      <c r="MS34" s="62"/>
      <c r="MT34" s="62"/>
      <c r="MU34" s="62"/>
      <c r="MV34" s="62"/>
      <c r="MW34" s="62"/>
      <c r="MX34" s="62"/>
      <c r="MY34" s="62"/>
      <c r="MZ34" s="62"/>
      <c r="NA34" s="62"/>
      <c r="NB34" s="62"/>
      <c r="NC34" s="62"/>
      <c r="ND34" s="62"/>
      <c r="NE34" s="62"/>
      <c r="NF34" s="62"/>
      <c r="NG34" s="62"/>
      <c r="NH34" s="62"/>
      <c r="NI34" s="62"/>
      <c r="NJ34" s="62"/>
      <c r="NK34" s="62"/>
      <c r="NL34" s="62"/>
      <c r="NM34" s="62"/>
      <c r="NN34" s="62"/>
      <c r="NO34" s="62"/>
      <c r="NP34" s="62"/>
      <c r="NQ34" s="62"/>
      <c r="NR34" s="62"/>
      <c r="NS34" s="62"/>
      <c r="NT34" s="62"/>
      <c r="NU34" s="62"/>
    </row>
    <row r="35" spans="1:385" ht="14.25" customHeight="1"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</row>
    <row r="36" spans="1:385" ht="14.25" customHeight="1"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  <c r="GI36" s="62"/>
      <c r="GJ36" s="62"/>
      <c r="GK36" s="62"/>
      <c r="GL36" s="62"/>
      <c r="GM36" s="62"/>
      <c r="GN36" s="62"/>
      <c r="GO36" s="62"/>
      <c r="GP36" s="62"/>
      <c r="GQ36" s="62"/>
      <c r="GR36" s="62"/>
      <c r="GS36" s="62"/>
      <c r="GT36" s="62"/>
      <c r="GU36" s="62"/>
      <c r="GV36" s="62"/>
      <c r="GW36" s="62"/>
      <c r="GX36" s="62"/>
      <c r="GY36" s="62"/>
      <c r="GZ36" s="62"/>
      <c r="HA36" s="62"/>
      <c r="HB36" s="62"/>
      <c r="HC36" s="62"/>
      <c r="HD36" s="62"/>
      <c r="HE36" s="62"/>
      <c r="HF36" s="62"/>
      <c r="HG36" s="62"/>
      <c r="HH36" s="62"/>
      <c r="HI36" s="62"/>
      <c r="HJ36" s="62"/>
      <c r="HK36" s="62"/>
      <c r="HL36" s="62"/>
      <c r="HM36" s="62"/>
      <c r="HN36" s="62"/>
      <c r="HO36" s="62"/>
      <c r="HP36" s="62"/>
      <c r="HQ36" s="62"/>
      <c r="HR36" s="62"/>
      <c r="HS36" s="62"/>
      <c r="HT36" s="62"/>
      <c r="HU36" s="62"/>
      <c r="HV36" s="62"/>
      <c r="HW36" s="62"/>
      <c r="HX36" s="62"/>
      <c r="HY36" s="62"/>
      <c r="HZ36" s="62"/>
      <c r="IA36" s="62"/>
      <c r="IB36" s="62"/>
      <c r="IC36" s="62"/>
      <c r="ID36" s="62"/>
      <c r="IE36" s="62"/>
      <c r="IF36" s="62"/>
      <c r="IG36" s="62"/>
      <c r="IH36" s="62"/>
      <c r="II36" s="62"/>
      <c r="IJ36" s="62"/>
      <c r="IK36" s="62"/>
      <c r="IL36" s="62"/>
      <c r="IM36" s="62"/>
      <c r="IN36" s="62"/>
      <c r="IO36" s="62"/>
      <c r="IP36" s="62"/>
      <c r="IQ36" s="62"/>
      <c r="IR36" s="62"/>
      <c r="IS36" s="62"/>
      <c r="IT36" s="62"/>
      <c r="IU36" s="62"/>
      <c r="IV36" s="62"/>
      <c r="IW36" s="62"/>
      <c r="IX36" s="62"/>
      <c r="IY36" s="62"/>
      <c r="IZ36" s="62"/>
      <c r="JA36" s="62"/>
      <c r="JB36" s="62"/>
      <c r="JC36" s="62"/>
      <c r="JD36" s="62"/>
      <c r="JE36" s="62"/>
      <c r="JF36" s="62"/>
      <c r="JG36" s="62"/>
      <c r="JH36" s="62"/>
      <c r="JI36" s="62"/>
      <c r="JJ36" s="62"/>
      <c r="JK36" s="62"/>
      <c r="JL36" s="62"/>
      <c r="JM36" s="62"/>
      <c r="JN36" s="62"/>
      <c r="JO36" s="62"/>
      <c r="JP36" s="62"/>
      <c r="JQ36" s="62"/>
      <c r="JR36" s="62"/>
      <c r="JS36" s="62"/>
      <c r="JT36" s="62"/>
      <c r="JU36" s="62"/>
      <c r="JV36" s="62"/>
      <c r="JW36" s="62"/>
      <c r="JX36" s="62"/>
      <c r="JY36" s="62"/>
      <c r="JZ36" s="62"/>
      <c r="KA36" s="62"/>
      <c r="KB36" s="62"/>
      <c r="KC36" s="62"/>
      <c r="KD36" s="62"/>
      <c r="KE36" s="62"/>
      <c r="KF36" s="62"/>
      <c r="KG36" s="62"/>
      <c r="KH36" s="62"/>
      <c r="KI36" s="62"/>
      <c r="KJ36" s="62"/>
      <c r="KK36" s="62"/>
      <c r="KL36" s="62"/>
      <c r="KM36" s="62"/>
      <c r="KN36" s="62"/>
      <c r="KO36" s="62"/>
      <c r="KP36" s="62"/>
      <c r="KQ36" s="62"/>
      <c r="KR36" s="62"/>
      <c r="KS36" s="62"/>
      <c r="KT36" s="62"/>
      <c r="KU36" s="62"/>
      <c r="KV36" s="62"/>
      <c r="KW36" s="62"/>
      <c r="KX36" s="62"/>
      <c r="KY36" s="62"/>
      <c r="KZ36" s="62"/>
      <c r="LA36" s="62"/>
      <c r="LB36" s="62"/>
      <c r="LC36" s="62"/>
      <c r="LD36" s="62"/>
      <c r="LE36" s="62"/>
      <c r="LF36" s="62"/>
      <c r="LG36" s="62"/>
      <c r="LH36" s="62"/>
      <c r="LI36" s="62"/>
      <c r="LJ36" s="62"/>
      <c r="LK36" s="62"/>
      <c r="LL36" s="62"/>
      <c r="LM36" s="62"/>
      <c r="LN36" s="62"/>
      <c r="LO36" s="62"/>
      <c r="LP36" s="62"/>
      <c r="LQ36" s="62"/>
      <c r="LR36" s="62"/>
      <c r="LS36" s="62"/>
      <c r="LT36" s="62"/>
      <c r="LU36" s="62"/>
      <c r="LV36" s="62"/>
      <c r="LW36" s="62"/>
      <c r="LX36" s="62"/>
      <c r="LY36" s="62"/>
      <c r="LZ36" s="62"/>
      <c r="MA36" s="62"/>
      <c r="MB36" s="62"/>
      <c r="MC36" s="62"/>
      <c r="MD36" s="62"/>
      <c r="ME36" s="62"/>
      <c r="MF36" s="62"/>
      <c r="MG36" s="62"/>
      <c r="MH36" s="62"/>
      <c r="MI36" s="62"/>
      <c r="MJ36" s="62"/>
      <c r="MK36" s="62"/>
      <c r="ML36" s="62"/>
      <c r="MM36" s="62"/>
      <c r="MN36" s="62"/>
      <c r="MO36" s="62"/>
      <c r="MP36" s="62"/>
      <c r="MQ36" s="62"/>
      <c r="MR36" s="62"/>
      <c r="MS36" s="62"/>
      <c r="MT36" s="62"/>
      <c r="MU36" s="62"/>
      <c r="MV36" s="62"/>
      <c r="MW36" s="62"/>
      <c r="MX36" s="62"/>
      <c r="MY36" s="62"/>
      <c r="MZ36" s="62"/>
      <c r="NA36" s="62"/>
      <c r="NB36" s="62"/>
      <c r="NC36" s="62"/>
      <c r="ND36" s="62"/>
      <c r="NE36" s="62"/>
      <c r="NF36" s="62"/>
      <c r="NG36" s="62"/>
      <c r="NH36" s="62"/>
      <c r="NI36" s="62"/>
      <c r="NJ36" s="62"/>
      <c r="NK36" s="62"/>
      <c r="NL36" s="62"/>
      <c r="NM36" s="62"/>
      <c r="NN36" s="62"/>
      <c r="NO36" s="62"/>
      <c r="NP36" s="62"/>
      <c r="NQ36" s="62"/>
      <c r="NR36" s="62"/>
      <c r="NS36" s="62"/>
      <c r="NT36" s="62"/>
      <c r="NU36" s="62"/>
    </row>
    <row r="37" spans="1:385" ht="14.25" customHeight="1"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  <c r="FX37" s="62"/>
      <c r="FY37" s="62"/>
      <c r="FZ37" s="62"/>
      <c r="GA37" s="62"/>
      <c r="GB37" s="62"/>
      <c r="GC37" s="62"/>
      <c r="GD37" s="62"/>
      <c r="GE37" s="62"/>
      <c r="GF37" s="62"/>
      <c r="GG37" s="62"/>
      <c r="GH37" s="62"/>
      <c r="GI37" s="62"/>
      <c r="GJ37" s="62"/>
      <c r="GK37" s="62"/>
      <c r="GL37" s="62"/>
      <c r="GM37" s="62"/>
      <c r="GN37" s="62"/>
      <c r="GO37" s="62"/>
      <c r="GP37" s="62"/>
      <c r="GQ37" s="62"/>
      <c r="GR37" s="62"/>
      <c r="GS37" s="62"/>
      <c r="GT37" s="62"/>
      <c r="GU37" s="62"/>
      <c r="GV37" s="62"/>
      <c r="GW37" s="62"/>
      <c r="GX37" s="62"/>
      <c r="GY37" s="62"/>
      <c r="GZ37" s="62"/>
      <c r="HA37" s="62"/>
      <c r="HB37" s="62"/>
      <c r="HC37" s="62"/>
      <c r="HD37" s="62"/>
      <c r="HE37" s="62"/>
      <c r="HF37" s="62"/>
      <c r="HG37" s="62"/>
      <c r="HH37" s="62"/>
      <c r="HI37" s="62"/>
      <c r="HJ37" s="62"/>
      <c r="HK37" s="62"/>
      <c r="HL37" s="62"/>
      <c r="HM37" s="62"/>
      <c r="HN37" s="62"/>
      <c r="HO37" s="62"/>
      <c r="HP37" s="62"/>
      <c r="HQ37" s="62"/>
      <c r="HR37" s="62"/>
      <c r="HS37" s="62"/>
      <c r="HT37" s="62"/>
      <c r="HU37" s="62"/>
      <c r="HV37" s="62"/>
      <c r="HW37" s="62"/>
      <c r="HX37" s="62"/>
      <c r="HY37" s="62"/>
      <c r="HZ37" s="62"/>
      <c r="IA37" s="62"/>
      <c r="IB37" s="62"/>
      <c r="IC37" s="62"/>
      <c r="ID37" s="62"/>
      <c r="IE37" s="62"/>
      <c r="IF37" s="62"/>
      <c r="IG37" s="62"/>
      <c r="IH37" s="62"/>
      <c r="II37" s="62"/>
      <c r="IJ37" s="62"/>
      <c r="IK37" s="62"/>
      <c r="IL37" s="62"/>
      <c r="IM37" s="62"/>
      <c r="IN37" s="62"/>
      <c r="IO37" s="62"/>
      <c r="IP37" s="62"/>
      <c r="IQ37" s="62"/>
      <c r="IR37" s="62"/>
      <c r="IS37" s="62"/>
      <c r="IT37" s="62"/>
      <c r="IU37" s="62"/>
      <c r="IV37" s="62"/>
      <c r="IW37" s="62"/>
      <c r="IX37" s="62"/>
      <c r="IY37" s="62"/>
      <c r="IZ37" s="62"/>
      <c r="JA37" s="62"/>
      <c r="JB37" s="62"/>
      <c r="JC37" s="62"/>
      <c r="JD37" s="62"/>
      <c r="JE37" s="62"/>
      <c r="JF37" s="62"/>
      <c r="JG37" s="62"/>
      <c r="JH37" s="62"/>
      <c r="JI37" s="62"/>
      <c r="JJ37" s="62"/>
      <c r="JK37" s="62"/>
      <c r="JL37" s="62"/>
      <c r="JM37" s="62"/>
      <c r="JN37" s="62"/>
      <c r="JO37" s="62"/>
      <c r="JP37" s="62"/>
      <c r="JQ37" s="62"/>
      <c r="JR37" s="62"/>
      <c r="JS37" s="62"/>
      <c r="JT37" s="62"/>
      <c r="JU37" s="62"/>
      <c r="JV37" s="62"/>
      <c r="JW37" s="62"/>
      <c r="JX37" s="62"/>
      <c r="JY37" s="62"/>
      <c r="JZ37" s="62"/>
      <c r="KA37" s="62"/>
      <c r="KB37" s="62"/>
      <c r="KC37" s="62"/>
      <c r="KD37" s="62"/>
      <c r="KE37" s="62"/>
      <c r="KF37" s="62"/>
      <c r="KG37" s="62"/>
      <c r="KH37" s="62"/>
      <c r="KI37" s="62"/>
      <c r="KJ37" s="62"/>
      <c r="KK37" s="62"/>
      <c r="KL37" s="62"/>
      <c r="KM37" s="62"/>
      <c r="KN37" s="62"/>
      <c r="KO37" s="62"/>
      <c r="KP37" s="62"/>
      <c r="KQ37" s="62"/>
      <c r="KR37" s="62"/>
      <c r="KS37" s="62"/>
      <c r="KT37" s="62"/>
      <c r="KU37" s="62"/>
      <c r="KV37" s="62"/>
      <c r="KW37" s="62"/>
      <c r="KX37" s="62"/>
      <c r="KY37" s="62"/>
      <c r="KZ37" s="62"/>
      <c r="LA37" s="62"/>
      <c r="LB37" s="62"/>
      <c r="LC37" s="62"/>
      <c r="LD37" s="62"/>
      <c r="LE37" s="62"/>
      <c r="LF37" s="62"/>
      <c r="LG37" s="62"/>
      <c r="LH37" s="62"/>
      <c r="LI37" s="62"/>
      <c r="LJ37" s="62"/>
      <c r="LK37" s="62"/>
      <c r="LL37" s="62"/>
      <c r="LM37" s="62"/>
      <c r="LN37" s="62"/>
      <c r="LO37" s="62"/>
      <c r="LP37" s="62"/>
      <c r="LQ37" s="62"/>
      <c r="LR37" s="62"/>
      <c r="LS37" s="62"/>
      <c r="LT37" s="62"/>
      <c r="LU37" s="62"/>
      <c r="LV37" s="62"/>
      <c r="LW37" s="62"/>
      <c r="LX37" s="62"/>
      <c r="LY37" s="62"/>
      <c r="LZ37" s="62"/>
      <c r="MA37" s="62"/>
      <c r="MB37" s="62"/>
      <c r="MC37" s="62"/>
      <c r="MD37" s="62"/>
      <c r="ME37" s="62"/>
      <c r="MF37" s="62"/>
      <c r="MG37" s="62"/>
      <c r="MH37" s="62"/>
      <c r="MI37" s="62"/>
      <c r="MJ37" s="62"/>
      <c r="MK37" s="62"/>
      <c r="ML37" s="62"/>
      <c r="MM37" s="62"/>
      <c r="MN37" s="62"/>
      <c r="MO37" s="62"/>
      <c r="MP37" s="62"/>
      <c r="MQ37" s="62"/>
      <c r="MR37" s="62"/>
      <c r="MS37" s="62"/>
      <c r="MT37" s="62"/>
      <c r="MU37" s="62"/>
      <c r="MV37" s="62"/>
      <c r="MW37" s="62"/>
      <c r="MX37" s="62"/>
      <c r="MY37" s="62"/>
      <c r="MZ37" s="62"/>
      <c r="NA37" s="62"/>
      <c r="NB37" s="62"/>
      <c r="NC37" s="62"/>
      <c r="ND37" s="62"/>
      <c r="NE37" s="62"/>
      <c r="NF37" s="62"/>
      <c r="NG37" s="62"/>
      <c r="NH37" s="62"/>
      <c r="NI37" s="62"/>
      <c r="NJ37" s="62"/>
      <c r="NK37" s="62"/>
      <c r="NL37" s="62"/>
      <c r="NM37" s="62"/>
      <c r="NN37" s="62"/>
      <c r="NO37" s="62"/>
      <c r="NP37" s="62"/>
      <c r="NQ37" s="62"/>
      <c r="NR37" s="62"/>
      <c r="NS37" s="62"/>
      <c r="NT37" s="62"/>
      <c r="NU37" s="62"/>
    </row>
    <row r="38" spans="1:385" ht="14.25" customHeight="1">
      <c r="FB38" s="62"/>
      <c r="FC38" s="62"/>
      <c r="FD38" s="62"/>
      <c r="FE38" s="62"/>
      <c r="FF38" s="62"/>
      <c r="FG38" s="62"/>
      <c r="FH38" s="62"/>
      <c r="FI38" s="62"/>
      <c r="FJ38" s="62"/>
      <c r="FK38" s="62"/>
      <c r="FL38" s="62"/>
      <c r="FM38" s="62"/>
      <c r="FN38" s="62"/>
      <c r="FO38" s="62"/>
      <c r="FP38" s="62"/>
      <c r="FQ38" s="62"/>
      <c r="FR38" s="62"/>
      <c r="FS38" s="62"/>
      <c r="FT38" s="62"/>
      <c r="FU38" s="62"/>
      <c r="FV38" s="62"/>
      <c r="FW38" s="62"/>
      <c r="FX38" s="62"/>
      <c r="FY38" s="62"/>
      <c r="FZ38" s="62"/>
      <c r="GA38" s="62"/>
      <c r="GB38" s="62"/>
      <c r="GC38" s="62"/>
      <c r="GD38" s="62"/>
      <c r="GE38" s="62"/>
      <c r="GF38" s="62"/>
      <c r="GG38" s="62"/>
      <c r="GH38" s="62"/>
      <c r="GI38" s="62"/>
      <c r="GJ38" s="62"/>
      <c r="GK38" s="62"/>
      <c r="GL38" s="62"/>
      <c r="GM38" s="62"/>
      <c r="GN38" s="62"/>
      <c r="GO38" s="62"/>
      <c r="GP38" s="62"/>
      <c r="GQ38" s="62"/>
      <c r="GR38" s="62"/>
      <c r="GS38" s="62"/>
      <c r="GT38" s="62"/>
      <c r="GU38" s="62"/>
      <c r="GV38" s="62"/>
      <c r="GW38" s="62"/>
      <c r="GX38" s="62"/>
      <c r="GY38" s="62"/>
      <c r="GZ38" s="62"/>
      <c r="HA38" s="62"/>
      <c r="HB38" s="62"/>
      <c r="HC38" s="62"/>
      <c r="HD38" s="62"/>
      <c r="HE38" s="62"/>
      <c r="HF38" s="62"/>
      <c r="HG38" s="62"/>
      <c r="HH38" s="62"/>
      <c r="HI38" s="62"/>
      <c r="HJ38" s="62"/>
      <c r="HK38" s="62"/>
      <c r="HL38" s="62"/>
      <c r="HM38" s="62"/>
      <c r="HN38" s="62"/>
      <c r="HO38" s="62"/>
      <c r="HP38" s="62"/>
      <c r="HQ38" s="62"/>
      <c r="HR38" s="62"/>
      <c r="HS38" s="62"/>
      <c r="HT38" s="62"/>
      <c r="HU38" s="62"/>
      <c r="HV38" s="62"/>
      <c r="HW38" s="62"/>
      <c r="HX38" s="62"/>
      <c r="HY38" s="62"/>
      <c r="HZ38" s="62"/>
      <c r="IA38" s="62"/>
      <c r="IB38" s="62"/>
      <c r="IC38" s="62"/>
      <c r="ID38" s="62"/>
      <c r="IE38" s="62"/>
      <c r="IF38" s="62"/>
      <c r="IG38" s="62"/>
      <c r="IH38" s="62"/>
      <c r="II38" s="62"/>
      <c r="IJ38" s="62"/>
      <c r="IK38" s="62"/>
      <c r="IL38" s="62"/>
      <c r="IM38" s="62"/>
      <c r="IN38" s="62"/>
      <c r="IO38" s="62"/>
      <c r="IP38" s="62"/>
      <c r="IQ38" s="62"/>
      <c r="IR38" s="62"/>
      <c r="IS38" s="62"/>
      <c r="IT38" s="62"/>
      <c r="IU38" s="62"/>
      <c r="IV38" s="62"/>
      <c r="IW38" s="62"/>
      <c r="IX38" s="62"/>
      <c r="IY38" s="62"/>
      <c r="IZ38" s="62"/>
      <c r="JA38" s="62"/>
      <c r="JB38" s="62"/>
      <c r="JC38" s="62"/>
      <c r="JD38" s="62"/>
      <c r="JE38" s="62"/>
      <c r="JF38" s="62"/>
      <c r="JG38" s="62"/>
      <c r="JH38" s="62"/>
      <c r="JI38" s="62"/>
      <c r="JJ38" s="62"/>
      <c r="JK38" s="62"/>
      <c r="JL38" s="62"/>
      <c r="JM38" s="62"/>
      <c r="JN38" s="62"/>
      <c r="JO38" s="62"/>
      <c r="JP38" s="62"/>
      <c r="JQ38" s="62"/>
      <c r="JR38" s="62"/>
      <c r="JS38" s="62"/>
      <c r="JT38" s="62"/>
      <c r="JU38" s="62"/>
      <c r="JV38" s="62"/>
      <c r="JW38" s="62"/>
      <c r="JX38" s="62"/>
      <c r="JY38" s="62"/>
      <c r="JZ38" s="62"/>
      <c r="KA38" s="62"/>
      <c r="KB38" s="62"/>
      <c r="KC38" s="62"/>
      <c r="KD38" s="62"/>
      <c r="KE38" s="62"/>
      <c r="KF38" s="62"/>
      <c r="KG38" s="62"/>
      <c r="KH38" s="62"/>
      <c r="KI38" s="62"/>
      <c r="KJ38" s="62"/>
      <c r="KK38" s="62"/>
      <c r="KL38" s="62"/>
      <c r="KM38" s="62"/>
      <c r="KN38" s="62"/>
      <c r="KO38" s="62"/>
      <c r="KP38" s="62"/>
      <c r="KQ38" s="62"/>
      <c r="KR38" s="62"/>
      <c r="KS38" s="62"/>
      <c r="KT38" s="62"/>
      <c r="KU38" s="62"/>
      <c r="KV38" s="62"/>
      <c r="KW38" s="62"/>
      <c r="KX38" s="62"/>
      <c r="KY38" s="62"/>
      <c r="KZ38" s="62"/>
      <c r="LA38" s="62"/>
      <c r="LB38" s="62"/>
      <c r="LC38" s="62"/>
      <c r="LD38" s="62"/>
      <c r="LE38" s="62"/>
      <c r="LF38" s="62"/>
      <c r="LG38" s="62"/>
      <c r="LH38" s="62"/>
      <c r="LI38" s="62"/>
      <c r="LJ38" s="62"/>
      <c r="LK38" s="62"/>
      <c r="LL38" s="62"/>
      <c r="LM38" s="62"/>
      <c r="LN38" s="62"/>
      <c r="LO38" s="62"/>
      <c r="LP38" s="62"/>
      <c r="LQ38" s="62"/>
      <c r="LR38" s="62"/>
      <c r="LS38" s="62"/>
      <c r="LT38" s="62"/>
      <c r="LU38" s="62"/>
      <c r="LV38" s="62"/>
      <c r="LW38" s="62"/>
      <c r="LX38" s="62"/>
      <c r="LY38" s="62"/>
      <c r="LZ38" s="62"/>
      <c r="MA38" s="62"/>
      <c r="MB38" s="62"/>
      <c r="MC38" s="62"/>
      <c r="MD38" s="62"/>
      <c r="ME38" s="62"/>
      <c r="MF38" s="62"/>
      <c r="MG38" s="62"/>
      <c r="MH38" s="62"/>
      <c r="MI38" s="62"/>
      <c r="MJ38" s="62"/>
      <c r="MK38" s="62"/>
      <c r="ML38" s="62"/>
      <c r="MM38" s="62"/>
      <c r="MN38" s="62"/>
      <c r="MO38" s="62"/>
      <c r="MP38" s="62"/>
      <c r="MQ38" s="62"/>
      <c r="MR38" s="62"/>
      <c r="MS38" s="62"/>
      <c r="MT38" s="62"/>
      <c r="MU38" s="62"/>
      <c r="MV38" s="62"/>
      <c r="MW38" s="62"/>
      <c r="MX38" s="62"/>
      <c r="MY38" s="62"/>
      <c r="MZ38" s="62"/>
      <c r="NA38" s="62"/>
      <c r="NB38" s="62"/>
      <c r="NC38" s="62"/>
      <c r="ND38" s="62"/>
      <c r="NE38" s="62"/>
      <c r="NF38" s="62"/>
      <c r="NG38" s="62"/>
      <c r="NH38" s="62"/>
      <c r="NI38" s="62"/>
      <c r="NJ38" s="62"/>
      <c r="NK38" s="62"/>
      <c r="NL38" s="62"/>
      <c r="NM38" s="62"/>
      <c r="NN38" s="62"/>
      <c r="NO38" s="62"/>
      <c r="NP38" s="62"/>
      <c r="NQ38" s="62"/>
      <c r="NR38" s="62"/>
      <c r="NS38" s="62"/>
      <c r="NT38" s="62"/>
      <c r="NU38" s="62"/>
    </row>
    <row r="39" spans="1:385" ht="14.25" customHeight="1"/>
    <row r="40" spans="1:385" ht="14.25" customHeight="1"/>
    <row r="41" spans="1:385" ht="14.25" customHeight="1"/>
    <row r="42" spans="1:385" ht="14.25" customHeight="1"/>
    <row r="43" spans="1:385" ht="14.25" customHeight="1"/>
    <row r="44" spans="1:385" ht="14.25" customHeight="1"/>
    <row r="45" spans="1:385" ht="14.25" customHeight="1"/>
    <row r="46" spans="1:385" ht="14.25" customHeight="1"/>
    <row r="47" spans="1:385" ht="14.25" customHeight="1"/>
    <row r="48" spans="1:38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mergeCells count="38">
    <mergeCell ref="EC5:EI5"/>
    <mergeCell ref="EJ5:EP5"/>
    <mergeCell ref="EQ5:EW5"/>
    <mergeCell ref="EX5:FA5"/>
    <mergeCell ref="BY5:CE5"/>
    <mergeCell ref="CF5:CL5"/>
    <mergeCell ref="CM5:CS5"/>
    <mergeCell ref="AW5:BC5"/>
    <mergeCell ref="BD5:BJ5"/>
    <mergeCell ref="BK5:BQ5"/>
    <mergeCell ref="BR5:BX5"/>
    <mergeCell ref="CS3:DV3"/>
    <mergeCell ref="CT5:CZ5"/>
    <mergeCell ref="DA5:DG5"/>
    <mergeCell ref="DH5:DN5"/>
    <mergeCell ref="DO5:DU5"/>
    <mergeCell ref="DV5:EB5"/>
    <mergeCell ref="N5:T5"/>
    <mergeCell ref="U5:AA5"/>
    <mergeCell ref="AB5:AH5"/>
    <mergeCell ref="AI5:AO5"/>
    <mergeCell ref="AP5:AV5"/>
    <mergeCell ref="E5:F5"/>
    <mergeCell ref="A21:FA21"/>
    <mergeCell ref="A30:FA30"/>
    <mergeCell ref="A1:D1"/>
    <mergeCell ref="A3:A5"/>
    <mergeCell ref="D3:D5"/>
    <mergeCell ref="B3:B5"/>
    <mergeCell ref="C3:C5"/>
    <mergeCell ref="E3:AI3"/>
    <mergeCell ref="AJ3:BM3"/>
    <mergeCell ref="BN3:CR3"/>
    <mergeCell ref="A12:FA12"/>
    <mergeCell ref="A11:FA11"/>
    <mergeCell ref="A7:FA7"/>
    <mergeCell ref="DW3:FA3"/>
    <mergeCell ref="G5:M5"/>
  </mergeCells>
  <phoneticPr fontId="39" type="noConversion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D372-E6C9-4E2E-AC28-F23CFFBF939D}">
  <dimension ref="A1:I40"/>
  <sheetViews>
    <sheetView topLeftCell="A7" workbookViewId="0">
      <selection activeCell="F5" sqref="F5"/>
    </sheetView>
  </sheetViews>
  <sheetFormatPr defaultColWidth="9" defaultRowHeight="14.25"/>
  <cols>
    <col min="1" max="9" width="17.125" customWidth="1"/>
  </cols>
  <sheetData>
    <row r="1" spans="1:9" ht="29.25">
      <c r="A1" s="142"/>
      <c r="B1" s="143" t="s">
        <v>186</v>
      </c>
      <c r="C1" s="143"/>
      <c r="D1" s="142"/>
      <c r="E1" s="142"/>
      <c r="F1" s="142"/>
      <c r="G1" s="142"/>
      <c r="H1" s="142"/>
      <c r="I1" s="142"/>
    </row>
    <row r="2" spans="1:9" ht="202.5">
      <c r="B2" s="144"/>
      <c r="C2" s="144"/>
      <c r="D2" s="145"/>
      <c r="E2" s="146" t="s">
        <v>187</v>
      </c>
      <c r="F2" s="147" t="s">
        <v>188</v>
      </c>
      <c r="G2" s="147" t="s">
        <v>189</v>
      </c>
      <c r="H2" s="147" t="s">
        <v>190</v>
      </c>
      <c r="I2" s="147" t="s">
        <v>191</v>
      </c>
    </row>
    <row r="3" spans="1:9" ht="73.5" customHeight="1">
      <c r="B3" s="148" t="s">
        <v>192</v>
      </c>
      <c r="C3" s="148" t="s">
        <v>193</v>
      </c>
      <c r="D3" s="149" t="s">
        <v>194</v>
      </c>
      <c r="E3" s="707" t="s">
        <v>195</v>
      </c>
      <c r="F3" s="707"/>
      <c r="G3" s="707"/>
      <c r="H3" s="707"/>
      <c r="I3" s="707"/>
    </row>
    <row r="4" spans="1:9" ht="18">
      <c r="B4" s="150"/>
      <c r="C4" s="151"/>
      <c r="D4" s="151" t="s">
        <v>196</v>
      </c>
      <c r="E4" s="152"/>
      <c r="F4" s="152"/>
      <c r="G4" s="152"/>
      <c r="H4" s="152"/>
      <c r="I4" s="152"/>
    </row>
    <row r="5" spans="1:9" ht="33">
      <c r="B5" s="153" t="s">
        <v>197</v>
      </c>
      <c r="C5" s="153" t="s">
        <v>198</v>
      </c>
      <c r="D5" s="153" t="s">
        <v>199</v>
      </c>
      <c r="E5" s="154" t="s">
        <v>200</v>
      </c>
      <c r="F5" s="154"/>
      <c r="G5" s="154"/>
      <c r="H5" s="154"/>
      <c r="I5" s="154"/>
    </row>
    <row r="6" spans="1:9" ht="18">
      <c r="B6" s="155" t="s">
        <v>201</v>
      </c>
      <c r="C6" s="153" t="s">
        <v>198</v>
      </c>
      <c r="D6" s="155" t="s">
        <v>202</v>
      </c>
      <c r="E6" s="154"/>
      <c r="F6" s="154" t="s">
        <v>203</v>
      </c>
      <c r="G6" s="154"/>
      <c r="H6" s="154"/>
      <c r="I6" s="154"/>
    </row>
    <row r="7" spans="1:9" ht="33">
      <c r="B7" s="155" t="s">
        <v>204</v>
      </c>
      <c r="C7" s="153" t="s">
        <v>198</v>
      </c>
      <c r="D7" s="155" t="s">
        <v>205</v>
      </c>
      <c r="E7" s="154"/>
      <c r="F7" s="154"/>
      <c r="G7" s="154" t="s">
        <v>206</v>
      </c>
      <c r="H7" s="154"/>
      <c r="I7" s="154"/>
    </row>
    <row r="8" spans="1:9" ht="33">
      <c r="B8" s="155" t="s">
        <v>204</v>
      </c>
      <c r="C8" s="153" t="s">
        <v>198</v>
      </c>
      <c r="D8" s="155" t="s">
        <v>207</v>
      </c>
      <c r="E8" s="154" t="s">
        <v>208</v>
      </c>
      <c r="F8" s="154"/>
      <c r="G8" s="154"/>
      <c r="H8" s="154" t="s">
        <v>206</v>
      </c>
      <c r="I8" s="154"/>
    </row>
    <row r="9" spans="1:9" ht="49.5">
      <c r="B9" s="155" t="s">
        <v>204</v>
      </c>
      <c r="C9" s="153" t="s">
        <v>198</v>
      </c>
      <c r="D9" s="155" t="s">
        <v>209</v>
      </c>
      <c r="E9" s="154"/>
      <c r="F9" s="154"/>
      <c r="G9" s="154" t="s">
        <v>203</v>
      </c>
      <c r="H9" s="154"/>
      <c r="I9" s="154"/>
    </row>
    <row r="10" spans="1:9" ht="66">
      <c r="B10" s="155" t="s">
        <v>201</v>
      </c>
      <c r="C10" s="153" t="s">
        <v>198</v>
      </c>
      <c r="D10" s="155" t="s">
        <v>210</v>
      </c>
      <c r="E10" s="154"/>
      <c r="F10" s="154"/>
      <c r="G10" s="154"/>
      <c r="H10" s="154"/>
      <c r="I10" s="154" t="s">
        <v>208</v>
      </c>
    </row>
    <row r="11" spans="1:9" ht="18">
      <c r="B11" s="156"/>
      <c r="C11" s="156"/>
      <c r="D11" s="156" t="s">
        <v>211</v>
      </c>
      <c r="E11" s="152"/>
      <c r="F11" s="152"/>
      <c r="G11" s="152"/>
      <c r="H11" s="152"/>
      <c r="I11" s="152"/>
    </row>
    <row r="12" spans="1:9" ht="49.5">
      <c r="B12" s="155" t="s">
        <v>204</v>
      </c>
      <c r="C12" s="153" t="s">
        <v>198</v>
      </c>
      <c r="D12" s="153" t="s">
        <v>212</v>
      </c>
      <c r="E12" s="154"/>
      <c r="F12" s="154" t="s">
        <v>200</v>
      </c>
      <c r="G12" s="154"/>
      <c r="H12" s="154"/>
      <c r="I12" s="154"/>
    </row>
    <row r="13" spans="1:9" ht="49.5">
      <c r="B13" s="155" t="s">
        <v>204</v>
      </c>
      <c r="C13" s="202" t="s">
        <v>213</v>
      </c>
      <c r="D13" s="155" t="s">
        <v>214</v>
      </c>
      <c r="E13" s="154"/>
      <c r="F13" s="154"/>
      <c r="G13" s="154" t="s">
        <v>206</v>
      </c>
      <c r="H13" s="154"/>
      <c r="I13" s="154"/>
    </row>
    <row r="14" spans="1:9" ht="49.5">
      <c r="B14" s="155" t="s">
        <v>204</v>
      </c>
      <c r="C14" s="200" t="s">
        <v>215</v>
      </c>
      <c r="D14" s="155" t="s">
        <v>216</v>
      </c>
      <c r="E14" s="154"/>
      <c r="F14" s="154" t="s">
        <v>208</v>
      </c>
      <c r="G14" s="154"/>
      <c r="H14" s="154" t="s">
        <v>203</v>
      </c>
      <c r="I14" s="154"/>
    </row>
    <row r="15" spans="1:9" ht="18">
      <c r="B15" s="156"/>
      <c r="C15" s="156"/>
      <c r="D15" s="156" t="s">
        <v>217</v>
      </c>
      <c r="E15" s="152"/>
      <c r="F15" s="152"/>
      <c r="G15" s="152"/>
      <c r="H15" s="152"/>
      <c r="I15" s="152"/>
    </row>
    <row r="16" spans="1:9" ht="33">
      <c r="B16" s="155" t="s">
        <v>204</v>
      </c>
      <c r="C16" s="200" t="s">
        <v>215</v>
      </c>
      <c r="D16" s="153" t="s">
        <v>218</v>
      </c>
      <c r="E16" s="154"/>
      <c r="F16" s="154"/>
      <c r="G16" s="154" t="s">
        <v>200</v>
      </c>
      <c r="H16" s="154"/>
      <c r="I16" s="154"/>
    </row>
    <row r="17" spans="2:9" ht="33">
      <c r="B17" s="155" t="s">
        <v>204</v>
      </c>
      <c r="C17" s="200" t="s">
        <v>215</v>
      </c>
      <c r="D17" s="155" t="s">
        <v>219</v>
      </c>
      <c r="E17" s="157"/>
      <c r="F17" s="154" t="s">
        <v>206</v>
      </c>
      <c r="G17" s="157"/>
      <c r="H17" s="154" t="s">
        <v>203</v>
      </c>
      <c r="I17" s="157"/>
    </row>
    <row r="18" spans="2:9" ht="49.5">
      <c r="B18" s="155" t="s">
        <v>204</v>
      </c>
      <c r="C18" s="200" t="s">
        <v>215</v>
      </c>
      <c r="D18" s="153" t="s">
        <v>220</v>
      </c>
      <c r="E18" s="154"/>
      <c r="F18" s="154"/>
      <c r="G18" s="154"/>
      <c r="H18" s="154"/>
      <c r="I18" s="154" t="s">
        <v>208</v>
      </c>
    </row>
    <row r="19" spans="2:9" ht="18">
      <c r="B19" s="156"/>
      <c r="C19" s="156"/>
      <c r="D19" s="156" t="s">
        <v>221</v>
      </c>
      <c r="E19" s="152"/>
      <c r="F19" s="152"/>
      <c r="G19" s="152"/>
      <c r="H19" s="152"/>
      <c r="I19" s="152"/>
    </row>
    <row r="20" spans="2:9" ht="46.5" customHeight="1">
      <c r="B20" s="155" t="s">
        <v>204</v>
      </c>
      <c r="C20" s="200" t="s">
        <v>215</v>
      </c>
      <c r="D20" s="155" t="s">
        <v>222</v>
      </c>
      <c r="E20" s="154" t="s">
        <v>206</v>
      </c>
      <c r="F20" s="157"/>
      <c r="G20" s="157"/>
      <c r="H20" s="154" t="s">
        <v>200</v>
      </c>
      <c r="I20" s="157"/>
    </row>
    <row r="21" spans="2:9" ht="66" customHeight="1">
      <c r="B21" s="155" t="s">
        <v>204</v>
      </c>
      <c r="C21" s="200" t="s">
        <v>215</v>
      </c>
      <c r="D21" s="153" t="s">
        <v>223</v>
      </c>
      <c r="E21" s="154"/>
      <c r="F21" s="154" t="s">
        <v>208</v>
      </c>
      <c r="G21" s="154"/>
      <c r="H21" s="154"/>
      <c r="I21" s="154" t="s">
        <v>208</v>
      </c>
    </row>
    <row r="22" spans="2:9" ht="49.5">
      <c r="B22" s="155" t="s">
        <v>204</v>
      </c>
      <c r="C22" s="200" t="s">
        <v>215</v>
      </c>
      <c r="D22" s="153" t="s">
        <v>224</v>
      </c>
      <c r="E22" s="154"/>
      <c r="F22" s="154"/>
      <c r="G22" s="154" t="s">
        <v>203</v>
      </c>
      <c r="H22" s="154"/>
      <c r="I22" s="154"/>
    </row>
    <row r="23" spans="2:9" ht="18">
      <c r="B23" s="156"/>
      <c r="C23" s="156"/>
      <c r="D23" s="156" t="s">
        <v>225</v>
      </c>
      <c r="E23" s="152"/>
      <c r="F23" s="152"/>
      <c r="G23" s="152"/>
      <c r="H23" s="152"/>
      <c r="I23" s="152"/>
    </row>
    <row r="24" spans="2:9" ht="33">
      <c r="B24" s="155" t="s">
        <v>204</v>
      </c>
      <c r="C24" s="200" t="s">
        <v>215</v>
      </c>
      <c r="D24" s="153" t="s">
        <v>226</v>
      </c>
      <c r="E24" s="154" t="s">
        <v>203</v>
      </c>
      <c r="F24" s="154"/>
      <c r="G24" s="154" t="s">
        <v>208</v>
      </c>
      <c r="H24" s="154"/>
      <c r="I24" s="154" t="s">
        <v>200</v>
      </c>
    </row>
    <row r="25" spans="2:9" ht="49.5">
      <c r="B25" s="155" t="s">
        <v>204</v>
      </c>
      <c r="C25" s="200" t="s">
        <v>215</v>
      </c>
      <c r="D25" s="155" t="s">
        <v>227</v>
      </c>
      <c r="E25" s="157"/>
      <c r="F25" s="154" t="s">
        <v>206</v>
      </c>
      <c r="G25" s="157"/>
      <c r="H25" s="157"/>
      <c r="I25" s="157"/>
    </row>
    <row r="28" spans="2:9" ht="28.5">
      <c r="B28" s="187"/>
      <c r="C28" s="188" t="s">
        <v>228</v>
      </c>
      <c r="D28" s="142"/>
      <c r="E28" s="142"/>
      <c r="F28" s="189"/>
      <c r="G28" s="189"/>
      <c r="H28" s="189"/>
      <c r="I28" s="189"/>
    </row>
    <row r="29" spans="2:9" ht="17.25">
      <c r="B29" s="190"/>
      <c r="C29" s="191" t="s">
        <v>229</v>
      </c>
      <c r="D29" s="192"/>
      <c r="F29" s="193"/>
      <c r="G29" s="187"/>
      <c r="H29" s="193"/>
      <c r="I29" s="190"/>
    </row>
    <row r="30" spans="2:9" ht="15">
      <c r="B30" s="190"/>
      <c r="C30" s="194"/>
      <c r="D30" s="195" t="s">
        <v>230</v>
      </c>
      <c r="F30" s="196" t="s">
        <v>192</v>
      </c>
      <c r="G30" s="190"/>
      <c r="H30" s="196" t="s">
        <v>193</v>
      </c>
      <c r="I30" s="190"/>
    </row>
    <row r="31" spans="2:9" ht="16.5">
      <c r="B31" s="190"/>
      <c r="C31" s="197" t="s">
        <v>200</v>
      </c>
      <c r="D31" s="198" t="s">
        <v>231</v>
      </c>
      <c r="F31" s="199" t="s">
        <v>197</v>
      </c>
      <c r="G31" s="190"/>
      <c r="H31" s="200" t="s">
        <v>215</v>
      </c>
      <c r="I31" s="190"/>
    </row>
    <row r="32" spans="2:9" ht="16.5">
      <c r="B32" s="190"/>
      <c r="C32" s="197" t="s">
        <v>203</v>
      </c>
      <c r="D32" s="198" t="s">
        <v>232</v>
      </c>
      <c r="F32" s="201" t="s">
        <v>201</v>
      </c>
      <c r="G32" s="190"/>
      <c r="H32" s="202" t="s">
        <v>213</v>
      </c>
      <c r="I32" s="190"/>
    </row>
    <row r="33" spans="2:9" ht="16.5">
      <c r="B33" s="190"/>
      <c r="C33" s="203" t="s">
        <v>208</v>
      </c>
      <c r="D33" s="198" t="s">
        <v>233</v>
      </c>
      <c r="F33" s="204" t="s">
        <v>204</v>
      </c>
      <c r="G33" s="190"/>
      <c r="H33" s="202" t="s">
        <v>198</v>
      </c>
      <c r="I33" s="190"/>
    </row>
    <row r="34" spans="2:9" ht="16.5">
      <c r="B34" s="190"/>
      <c r="C34" s="197" t="s">
        <v>206</v>
      </c>
      <c r="D34" s="198" t="s">
        <v>234</v>
      </c>
      <c r="F34" s="205"/>
      <c r="G34" s="190"/>
      <c r="H34" s="206" t="s">
        <v>235</v>
      </c>
      <c r="I34" s="190"/>
    </row>
    <row r="35" spans="2:9" ht="16.5">
      <c r="B35" s="190"/>
      <c r="F35" s="205"/>
      <c r="G35" s="190"/>
      <c r="H35" s="207" t="s">
        <v>236</v>
      </c>
      <c r="I35" s="190"/>
    </row>
    <row r="36" spans="2:9" ht="15.75">
      <c r="B36" s="190"/>
      <c r="F36" s="193"/>
      <c r="G36" s="190"/>
      <c r="H36" s="208" t="s">
        <v>237</v>
      </c>
      <c r="I36" s="190"/>
    </row>
    <row r="37" spans="2:9" ht="15.75">
      <c r="B37" s="190"/>
      <c r="F37" s="193"/>
      <c r="G37" s="190"/>
      <c r="H37" s="209" t="s">
        <v>238</v>
      </c>
      <c r="I37" s="190"/>
    </row>
    <row r="38" spans="2:9" ht="16.5">
      <c r="B38" s="190"/>
      <c r="F38" s="205"/>
      <c r="G38" s="190"/>
      <c r="H38" s="210"/>
      <c r="I38" s="190"/>
    </row>
    <row r="39" spans="2:9" ht="16.5">
      <c r="B39" s="190"/>
      <c r="F39" s="205"/>
      <c r="G39" s="190"/>
      <c r="H39" s="210"/>
      <c r="I39" s="190"/>
    </row>
    <row r="40" spans="2:9" ht="16.5">
      <c r="B40" s="190"/>
      <c r="F40" s="205"/>
      <c r="G40" s="190"/>
      <c r="H40" s="205"/>
      <c r="I40" s="190"/>
    </row>
  </sheetData>
  <mergeCells count="1">
    <mergeCell ref="E3:I3"/>
  </mergeCells>
  <conditionalFormatting sqref="B4:B25">
    <cfRule type="containsText" dxfId="81" priority="64" operator="containsText" text="Baja">
      <formula>NOT(ISERROR(SEARCH("Baja",B4)))</formula>
    </cfRule>
    <cfRule type="containsText" dxfId="80" priority="65" operator="containsText" text="Media">
      <formula>NOT(ISERROR(SEARCH("Media",B4)))</formula>
    </cfRule>
    <cfRule type="containsText" dxfId="79" priority="66" operator="containsText" text="Alta">
      <formula>NOT(ISERROR(SEARCH("Alta",B4)))</formula>
    </cfRule>
  </conditionalFormatting>
  <conditionalFormatting sqref="C4:C12 C14:C25">
    <cfRule type="containsText" dxfId="78" priority="72" operator="containsText" text="Necesita revisión">
      <formula>NOT(ISERROR(SEARCH("Necesita revisión",C4)))</formula>
    </cfRule>
    <cfRule type="containsText" dxfId="77" priority="73" operator="containsText" text="No se ha iniciado">
      <formula>NOT(ISERROR(SEARCH("No se ha iniciado",C4)))</formula>
    </cfRule>
    <cfRule type="containsText" dxfId="76" priority="74" operator="containsText" text="En espera">
      <formula>NOT(ISERROR(SEARCH("En espera",C4)))</formula>
    </cfRule>
    <cfRule type="containsText" dxfId="75" priority="75" operator="containsText" text="Atrasado">
      <formula>NOT(ISERROR(SEARCH("Atrasado",C4)))</formula>
    </cfRule>
    <cfRule type="containsText" dxfId="74" priority="76" operator="containsText" text="Completo">
      <formula>NOT(ISERROR(SEARCH("Completo",C4)))</formula>
    </cfRule>
    <cfRule type="containsText" dxfId="73" priority="77" operator="containsText" text="En curso">
      <formula>NOT(ISERROR(SEARCH("En curso",C4)))</formula>
    </cfRule>
  </conditionalFormatting>
  <conditionalFormatting sqref="C13:C14">
    <cfRule type="containsText" dxfId="72" priority="1" operator="containsText" text="Aprobado">
      <formula>NOT(ISERROR(SEARCH("Aprobado",C13)))</formula>
    </cfRule>
    <cfRule type="containsText" dxfId="71" priority="2" operator="containsText" text="Necesita revisión">
      <formula>NOT(ISERROR(SEARCH("Necesita revisión",C13)))</formula>
    </cfRule>
    <cfRule type="containsText" dxfId="70" priority="3" operator="containsText" text="No se ha iniciado">
      <formula>NOT(ISERROR(SEARCH("No se ha iniciado",C13)))</formula>
    </cfRule>
    <cfRule type="containsText" dxfId="69" priority="4" operator="containsText" text="En espera">
      <formula>NOT(ISERROR(SEARCH("En espera",C13)))</formula>
    </cfRule>
    <cfRule type="containsText" dxfId="68" priority="5" operator="containsText" text="Atrasado">
      <formula>NOT(ISERROR(SEARCH("Atrasado",C13)))</formula>
    </cfRule>
    <cfRule type="containsText" dxfId="67" priority="6" operator="containsText" text="Completo">
      <formula>NOT(ISERROR(SEARCH("Completo",C13)))</formula>
    </cfRule>
    <cfRule type="containsText" dxfId="66" priority="7" operator="containsText" text="En curso">
      <formula>NOT(ISERROR(SEARCH("En curso",C13)))</formula>
    </cfRule>
  </conditionalFormatting>
  <conditionalFormatting sqref="C14:C25 C4:C12">
    <cfRule type="containsText" dxfId="65" priority="71" operator="containsText" text="Aprobado">
      <formula>NOT(ISERROR(SEARCH("Aprobado",C4)))</formula>
    </cfRule>
  </conditionalFormatting>
  <conditionalFormatting sqref="C16:C18">
    <cfRule type="containsText" dxfId="64" priority="36" operator="containsText" text="Aprobado">
      <formula>NOT(ISERROR(SEARCH("Aprobado",C16)))</formula>
    </cfRule>
    <cfRule type="containsText" dxfId="63" priority="37" operator="containsText" text="Necesita revisión">
      <formula>NOT(ISERROR(SEARCH("Necesita revisión",C16)))</formula>
    </cfRule>
    <cfRule type="containsText" dxfId="62" priority="38" operator="containsText" text="No se ha iniciado">
      <formula>NOT(ISERROR(SEARCH("No se ha iniciado",C16)))</formula>
    </cfRule>
    <cfRule type="containsText" dxfId="61" priority="39" operator="containsText" text="En espera">
      <formula>NOT(ISERROR(SEARCH("En espera",C16)))</formula>
    </cfRule>
    <cfRule type="containsText" dxfId="60" priority="40" operator="containsText" text="Atrasado">
      <formula>NOT(ISERROR(SEARCH("Atrasado",C16)))</formula>
    </cfRule>
    <cfRule type="containsText" dxfId="59" priority="41" operator="containsText" text="Completo">
      <formula>NOT(ISERROR(SEARCH("Completo",C16)))</formula>
    </cfRule>
    <cfRule type="containsText" dxfId="58" priority="42" operator="containsText" text="En curso">
      <formula>NOT(ISERROR(SEARCH("En curso",C16)))</formula>
    </cfRule>
  </conditionalFormatting>
  <conditionalFormatting sqref="C20:C22">
    <cfRule type="containsText" dxfId="57" priority="15" operator="containsText" text="Aprobado">
      <formula>NOT(ISERROR(SEARCH("Aprobado",C20)))</formula>
    </cfRule>
    <cfRule type="containsText" dxfId="56" priority="16" operator="containsText" text="Necesita revisión">
      <formula>NOT(ISERROR(SEARCH("Necesita revisión",C20)))</formula>
    </cfRule>
    <cfRule type="containsText" dxfId="55" priority="17" operator="containsText" text="No se ha iniciado">
      <formula>NOT(ISERROR(SEARCH("No se ha iniciado",C20)))</formula>
    </cfRule>
    <cfRule type="containsText" dxfId="54" priority="18" operator="containsText" text="En espera">
      <formula>NOT(ISERROR(SEARCH("En espera",C20)))</formula>
    </cfRule>
    <cfRule type="containsText" dxfId="53" priority="19" operator="containsText" text="Atrasado">
      <formula>NOT(ISERROR(SEARCH("Atrasado",C20)))</formula>
    </cfRule>
    <cfRule type="containsText" dxfId="52" priority="20" operator="containsText" text="Completo">
      <formula>NOT(ISERROR(SEARCH("Completo",C20)))</formula>
    </cfRule>
    <cfRule type="containsText" dxfId="51" priority="21" operator="containsText" text="En curso">
      <formula>NOT(ISERROR(SEARCH("En curso",C20)))</formula>
    </cfRule>
  </conditionalFormatting>
  <conditionalFormatting sqref="C24:C25">
    <cfRule type="containsText" dxfId="50" priority="8" operator="containsText" text="Aprobado">
      <formula>NOT(ISERROR(SEARCH("Aprobado",C24)))</formula>
    </cfRule>
    <cfRule type="containsText" dxfId="49" priority="9" operator="containsText" text="Necesita revisión">
      <formula>NOT(ISERROR(SEARCH("Necesita revisión",C24)))</formula>
    </cfRule>
    <cfRule type="containsText" dxfId="48" priority="10" operator="containsText" text="No se ha iniciado">
      <formula>NOT(ISERROR(SEARCH("No se ha iniciado",C24)))</formula>
    </cfRule>
    <cfRule type="containsText" dxfId="47" priority="11" operator="containsText" text="En espera">
      <formula>NOT(ISERROR(SEARCH("En espera",C24)))</formula>
    </cfRule>
    <cfRule type="containsText" dxfId="46" priority="12" operator="containsText" text="Atrasado">
      <formula>NOT(ISERROR(SEARCH("Atrasado",C24)))</formula>
    </cfRule>
    <cfRule type="containsText" dxfId="45" priority="13" operator="containsText" text="Completo">
      <formula>NOT(ISERROR(SEARCH("Completo",C24)))</formula>
    </cfRule>
    <cfRule type="containsText" dxfId="44" priority="14" operator="containsText" text="En curso">
      <formula>NOT(ISERROR(SEARCH("En curso",C24)))</formula>
    </cfRule>
  </conditionalFormatting>
  <conditionalFormatting sqref="C31:C34">
    <cfRule type="containsText" dxfId="43" priority="50" operator="containsText" text="R">
      <formula>NOT(ISERROR(SEARCH("R",C31)))</formula>
    </cfRule>
    <cfRule type="containsText" dxfId="42" priority="51" operator="containsText" text="A">
      <formula>NOT(ISERROR(SEARCH("A",C31)))</formula>
    </cfRule>
    <cfRule type="containsText" dxfId="41" priority="52" operator="containsText" text="C">
      <formula>NOT(ISERROR(SEARCH("C",C31)))</formula>
    </cfRule>
    <cfRule type="containsText" dxfId="40" priority="53" operator="containsText" text="I">
      <formula>NOT(ISERROR(SEARCH("I",C31)))</formula>
    </cfRule>
  </conditionalFormatting>
  <conditionalFormatting sqref="D12">
    <cfRule type="containsText" dxfId="39" priority="43" operator="containsText" text="Aprobado">
      <formula>NOT(ISERROR(SEARCH("Aprobado",D12)))</formula>
    </cfRule>
    <cfRule type="containsText" dxfId="38" priority="44" operator="containsText" text="Necesita revisión">
      <formula>NOT(ISERROR(SEARCH("Necesita revisión",D12)))</formula>
    </cfRule>
    <cfRule type="containsText" dxfId="37" priority="45" operator="containsText" text="No se ha iniciado">
      <formula>NOT(ISERROR(SEARCH("No se ha iniciado",D12)))</formula>
    </cfRule>
    <cfRule type="containsText" dxfId="36" priority="46" operator="containsText" text="En espera">
      <formula>NOT(ISERROR(SEARCH("En espera",D12)))</formula>
    </cfRule>
    <cfRule type="containsText" dxfId="35" priority="47" operator="containsText" text="Atrasado">
      <formula>NOT(ISERROR(SEARCH("Atrasado",D12)))</formula>
    </cfRule>
    <cfRule type="containsText" dxfId="34" priority="48" operator="containsText" text="Completo">
      <formula>NOT(ISERROR(SEARCH("Completo",D12)))</formula>
    </cfRule>
    <cfRule type="containsText" dxfId="33" priority="49" operator="containsText" text="En curso">
      <formula>NOT(ISERROR(SEARCH("En curso",D12)))</formula>
    </cfRule>
  </conditionalFormatting>
  <conditionalFormatting sqref="E4:I25">
    <cfRule type="containsText" dxfId="32" priority="67" operator="containsText" text="R">
      <formula>NOT(ISERROR(SEARCH("R",E4)))</formula>
    </cfRule>
    <cfRule type="containsText" dxfId="31" priority="68" operator="containsText" text="A">
      <formula>NOT(ISERROR(SEARCH("A",E4)))</formula>
    </cfRule>
    <cfRule type="containsText" dxfId="30" priority="69" operator="containsText" text="C">
      <formula>NOT(ISERROR(SEARCH("C",E4)))</formula>
    </cfRule>
    <cfRule type="containsText" dxfId="29" priority="70" operator="containsText" text="I">
      <formula>NOT(ISERROR(SEARCH("I",E4)))</formula>
    </cfRule>
  </conditionalFormatting>
  <conditionalFormatting sqref="F31:F33">
    <cfRule type="containsText" dxfId="28" priority="55" operator="containsText" text="Baja">
      <formula>NOT(ISERROR(SEARCH("Baja",F31)))</formula>
    </cfRule>
    <cfRule type="containsText" dxfId="27" priority="56" operator="containsText" text="Media">
      <formula>NOT(ISERROR(SEARCH("Media",F31)))</formula>
    </cfRule>
    <cfRule type="containsText" dxfId="26" priority="57" operator="containsText" text="Alta">
      <formula>NOT(ISERROR(SEARCH("Alta",F31)))</formula>
    </cfRule>
  </conditionalFormatting>
  <conditionalFormatting sqref="H31:H39">
    <cfRule type="containsText" dxfId="25" priority="54" operator="containsText" text="Aprobado">
      <formula>NOT(ISERROR(SEARCH("Aprobado",H31)))</formula>
    </cfRule>
    <cfRule type="containsText" dxfId="24" priority="58" operator="containsText" text="Necesita revisión">
      <formula>NOT(ISERROR(SEARCH("Necesita revisión",H31)))</formula>
    </cfRule>
    <cfRule type="containsText" dxfId="23" priority="59" operator="containsText" text="No se ha iniciado">
      <formula>NOT(ISERROR(SEARCH("No se ha iniciado",H31)))</formula>
    </cfRule>
    <cfRule type="containsText" dxfId="22" priority="60" operator="containsText" text="En espera">
      <formula>NOT(ISERROR(SEARCH("En espera",H31)))</formula>
    </cfRule>
    <cfRule type="containsText" dxfId="21" priority="61" operator="containsText" text="Atrasado">
      <formula>NOT(ISERROR(SEARCH("Atrasado",H31)))</formula>
    </cfRule>
    <cfRule type="containsText" dxfId="20" priority="62" operator="containsText" text="Completo">
      <formula>NOT(ISERROR(SEARCH("Completo",H31)))</formula>
    </cfRule>
    <cfRule type="containsText" dxfId="19" priority="63" operator="containsText" text="En curso">
      <formula>NOT(ISERROR(SEARCH("En curso",H31)))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3566-6867-4996-B197-3557ABE896AD}">
  <dimension ref="A1:N23"/>
  <sheetViews>
    <sheetView workbookViewId="0">
      <selection activeCell="H3" sqref="H3:I3"/>
    </sheetView>
  </sheetViews>
  <sheetFormatPr defaultColWidth="8.875" defaultRowHeight="14.25"/>
  <cols>
    <col min="1" max="3" width="16.75" customWidth="1"/>
    <col min="4" max="4" width="20.875" customWidth="1"/>
    <col min="5" max="5" width="16.75" customWidth="1"/>
    <col min="6" max="6" width="18.5" customWidth="1"/>
    <col min="7" max="15" width="16.75" customWidth="1"/>
  </cols>
  <sheetData>
    <row r="1" spans="1:14" ht="32.25">
      <c r="A1" s="158"/>
      <c r="B1" s="159" t="s">
        <v>239</v>
      </c>
    </row>
    <row r="2" spans="1:14">
      <c r="A2" s="160"/>
      <c r="B2" s="161" t="s">
        <v>240</v>
      </c>
      <c r="C2" s="160"/>
      <c r="D2" s="160"/>
      <c r="E2" s="160"/>
      <c r="F2" s="160"/>
      <c r="G2" s="160"/>
      <c r="H2" s="715" t="s">
        <v>241</v>
      </c>
      <c r="I2" s="715"/>
      <c r="J2" s="160"/>
      <c r="K2" s="160"/>
      <c r="L2" s="160"/>
      <c r="M2" s="160"/>
      <c r="N2" s="160"/>
    </row>
    <row r="3" spans="1:14" ht="30.75" customHeight="1" thickBot="1">
      <c r="A3" s="158"/>
      <c r="B3" s="716" t="s">
        <v>242</v>
      </c>
      <c r="C3" s="717"/>
      <c r="D3" s="717"/>
      <c r="E3" s="717"/>
      <c r="F3" s="718"/>
      <c r="G3" s="162"/>
      <c r="H3" s="719" t="s">
        <v>243</v>
      </c>
      <c r="I3" s="720"/>
      <c r="J3" s="158"/>
      <c r="K3" s="158"/>
      <c r="L3" s="158"/>
      <c r="M3" s="158"/>
      <c r="N3" s="158"/>
    </row>
    <row r="4" spans="1:14">
      <c r="A4" s="160"/>
      <c r="B4" s="161" t="s">
        <v>244</v>
      </c>
      <c r="C4" s="160"/>
      <c r="D4" s="160"/>
      <c r="E4" s="160"/>
      <c r="F4" s="160"/>
      <c r="G4" s="163"/>
      <c r="H4" s="721" t="s">
        <v>150</v>
      </c>
      <c r="I4" s="721"/>
      <c r="J4" s="160"/>
      <c r="K4" s="160"/>
      <c r="L4" s="160"/>
      <c r="M4" s="160"/>
      <c r="N4" s="160"/>
    </row>
    <row r="5" spans="1:14" ht="57" customHeight="1" thickBot="1">
      <c r="A5" s="158"/>
      <c r="B5" s="722" t="s">
        <v>245</v>
      </c>
      <c r="C5" s="723"/>
      <c r="D5" s="723"/>
      <c r="E5" s="723"/>
      <c r="F5" s="724"/>
      <c r="G5" s="162"/>
      <c r="H5" s="731">
        <v>45870</v>
      </c>
      <c r="I5" s="732"/>
      <c r="J5" s="158"/>
      <c r="K5" s="158"/>
      <c r="L5" s="158"/>
      <c r="M5" s="158"/>
      <c r="N5" s="158"/>
    </row>
    <row r="6" spans="1:14">
      <c r="A6" s="160"/>
      <c r="B6" s="725"/>
      <c r="C6" s="726"/>
      <c r="D6" s="726"/>
      <c r="E6" s="726"/>
      <c r="F6" s="727"/>
      <c r="G6" s="163"/>
      <c r="H6" s="721" t="s">
        <v>151</v>
      </c>
      <c r="I6" s="721"/>
      <c r="J6" s="160"/>
      <c r="K6" s="160"/>
      <c r="L6" s="160"/>
      <c r="M6" s="160"/>
      <c r="N6" s="160"/>
    </row>
    <row r="7" spans="1:14" ht="72" customHeight="1" thickBot="1">
      <c r="A7" s="158"/>
      <c r="B7" s="728"/>
      <c r="C7" s="729"/>
      <c r="D7" s="729"/>
      <c r="E7" s="729"/>
      <c r="F7" s="730"/>
      <c r="G7" s="162"/>
      <c r="H7" s="731">
        <v>45997</v>
      </c>
      <c r="I7" s="732"/>
      <c r="J7" s="158"/>
      <c r="K7" s="158"/>
      <c r="L7" s="158"/>
      <c r="M7" s="158"/>
      <c r="N7" s="158"/>
    </row>
    <row r="8" spans="1:14" ht="15.75" thickBot="1">
      <c r="A8" s="158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</row>
    <row r="9" spans="1:14" ht="18" thickTop="1" thickBot="1">
      <c r="A9" s="164"/>
      <c r="B9" s="164"/>
      <c r="C9" s="164"/>
      <c r="D9" s="164"/>
      <c r="E9" s="164"/>
      <c r="F9" s="164"/>
      <c r="G9" s="164"/>
      <c r="H9" s="708" t="s">
        <v>246</v>
      </c>
      <c r="I9" s="709"/>
      <c r="J9" s="710" t="s">
        <v>247</v>
      </c>
      <c r="K9" s="711"/>
      <c r="L9" s="711"/>
      <c r="M9" s="711"/>
      <c r="N9" s="712"/>
    </row>
    <row r="10" spans="1:14" ht="27.75" thickTop="1">
      <c r="A10" s="164"/>
      <c r="B10" s="165" t="s">
        <v>248</v>
      </c>
      <c r="C10" s="165" t="s">
        <v>249</v>
      </c>
      <c r="D10" s="165" t="s">
        <v>250</v>
      </c>
      <c r="E10" s="166" t="s">
        <v>251</v>
      </c>
      <c r="F10" s="167" t="s">
        <v>252</v>
      </c>
      <c r="G10" s="166" t="s">
        <v>253</v>
      </c>
      <c r="H10" s="168" t="s">
        <v>254</v>
      </c>
      <c r="I10" s="168" t="s">
        <v>255</v>
      </c>
      <c r="J10" s="169" t="s">
        <v>256</v>
      </c>
      <c r="K10" s="169" t="s">
        <v>257</v>
      </c>
      <c r="L10" s="169" t="s">
        <v>258</v>
      </c>
      <c r="M10" s="169" t="s">
        <v>259</v>
      </c>
      <c r="N10" s="170" t="s">
        <v>260</v>
      </c>
    </row>
    <row r="11" spans="1:14" ht="75" customHeight="1">
      <c r="A11" s="171"/>
      <c r="B11" s="172" t="s">
        <v>243</v>
      </c>
      <c r="C11" s="173" t="s">
        <v>241</v>
      </c>
      <c r="D11" s="348" t="s">
        <v>261</v>
      </c>
      <c r="E11" s="174" t="s">
        <v>262</v>
      </c>
      <c r="F11" s="175" t="s">
        <v>263</v>
      </c>
      <c r="G11" s="176" t="s">
        <v>264</v>
      </c>
      <c r="H11" s="177" t="s">
        <v>265</v>
      </c>
      <c r="I11" s="177" t="s">
        <v>266</v>
      </c>
      <c r="J11" s="178"/>
      <c r="K11" s="179"/>
      <c r="L11" s="180"/>
      <c r="M11" s="181" t="s">
        <v>267</v>
      </c>
      <c r="N11" s="182" t="s">
        <v>267</v>
      </c>
    </row>
    <row r="12" spans="1:14" ht="66.75" customHeight="1">
      <c r="A12" s="171"/>
      <c r="B12" s="183" t="s">
        <v>268</v>
      </c>
      <c r="C12" s="173" t="s">
        <v>269</v>
      </c>
      <c r="D12" s="348" t="s">
        <v>270</v>
      </c>
      <c r="E12" s="174" t="s">
        <v>271</v>
      </c>
      <c r="F12" s="175" t="s">
        <v>272</v>
      </c>
      <c r="G12" s="176" t="s">
        <v>273</v>
      </c>
      <c r="H12" s="177" t="s">
        <v>265</v>
      </c>
      <c r="I12" s="177" t="s">
        <v>274</v>
      </c>
      <c r="J12" s="178"/>
      <c r="K12" s="179"/>
      <c r="L12" s="180"/>
      <c r="M12" s="181" t="s">
        <v>267</v>
      </c>
      <c r="N12" s="182"/>
    </row>
    <row r="13" spans="1:14" ht="57.75" customHeight="1">
      <c r="A13" s="171"/>
      <c r="B13" s="172" t="s">
        <v>275</v>
      </c>
      <c r="C13" s="185" t="s">
        <v>276</v>
      </c>
      <c r="D13" s="350" t="s">
        <v>277</v>
      </c>
      <c r="E13" s="174" t="s">
        <v>271</v>
      </c>
      <c r="F13" s="175" t="s">
        <v>278</v>
      </c>
      <c r="G13" s="176" t="s">
        <v>273</v>
      </c>
      <c r="H13" s="177" t="s">
        <v>265</v>
      </c>
      <c r="I13" s="177" t="s">
        <v>279</v>
      </c>
      <c r="J13" s="178"/>
      <c r="K13" s="180"/>
      <c r="L13" s="180" t="s">
        <v>267</v>
      </c>
      <c r="M13" s="181" t="s">
        <v>267</v>
      </c>
      <c r="N13" s="182" t="s">
        <v>280</v>
      </c>
    </row>
    <row r="14" spans="1:14" ht="72.75" customHeight="1">
      <c r="A14" s="171"/>
      <c r="B14" s="183" t="s">
        <v>281</v>
      </c>
      <c r="C14" s="173" t="s">
        <v>282</v>
      </c>
      <c r="D14" s="348" t="s">
        <v>283</v>
      </c>
      <c r="E14" s="174" t="s">
        <v>284</v>
      </c>
      <c r="F14" s="175" t="s">
        <v>285</v>
      </c>
      <c r="G14" s="184" t="s">
        <v>264</v>
      </c>
      <c r="H14" s="177" t="s">
        <v>265</v>
      </c>
      <c r="I14" s="177" t="s">
        <v>286</v>
      </c>
      <c r="J14" s="178"/>
      <c r="K14" s="179"/>
      <c r="L14" s="180"/>
      <c r="M14" s="181" t="s">
        <v>267</v>
      </c>
      <c r="N14" s="182" t="s">
        <v>267</v>
      </c>
    </row>
    <row r="15" spans="1:14" ht="64.5" customHeight="1">
      <c r="A15" s="171"/>
      <c r="B15" s="183" t="s">
        <v>287</v>
      </c>
      <c r="C15" s="173" t="s">
        <v>288</v>
      </c>
      <c r="D15" s="348" t="s">
        <v>289</v>
      </c>
      <c r="E15" s="174" t="s">
        <v>262</v>
      </c>
      <c r="F15" s="175" t="s">
        <v>290</v>
      </c>
      <c r="G15" s="176" t="s">
        <v>273</v>
      </c>
      <c r="H15" s="177" t="s">
        <v>291</v>
      </c>
      <c r="I15" s="177" t="s">
        <v>292</v>
      </c>
      <c r="J15" s="178" t="s">
        <v>267</v>
      </c>
      <c r="K15" s="179"/>
      <c r="L15" s="180"/>
      <c r="M15" s="181" t="s">
        <v>267</v>
      </c>
      <c r="N15" s="182"/>
    </row>
    <row r="16" spans="1:14" ht="63" customHeight="1">
      <c r="A16" s="171"/>
      <c r="B16" s="172" t="s">
        <v>281</v>
      </c>
      <c r="C16" s="186" t="s">
        <v>293</v>
      </c>
      <c r="D16" s="348" t="s">
        <v>283</v>
      </c>
      <c r="E16" s="174" t="s">
        <v>284</v>
      </c>
      <c r="F16" s="175" t="s">
        <v>294</v>
      </c>
      <c r="G16" s="184" t="s">
        <v>264</v>
      </c>
      <c r="H16" s="177" t="s">
        <v>265</v>
      </c>
      <c r="I16" s="177" t="s">
        <v>295</v>
      </c>
      <c r="J16" s="178"/>
      <c r="K16" s="179"/>
      <c r="L16" s="180"/>
      <c r="M16" s="181" t="s">
        <v>267</v>
      </c>
      <c r="N16" s="182" t="s">
        <v>267</v>
      </c>
    </row>
    <row r="17" spans="1:14" ht="81.75" customHeight="1">
      <c r="A17" s="171"/>
      <c r="B17" s="172" t="s">
        <v>287</v>
      </c>
      <c r="C17" s="186" t="s">
        <v>296</v>
      </c>
      <c r="D17" s="348" t="s">
        <v>297</v>
      </c>
      <c r="E17" s="174" t="s">
        <v>284</v>
      </c>
      <c r="F17" s="175" t="s">
        <v>298</v>
      </c>
      <c r="G17" s="176" t="s">
        <v>273</v>
      </c>
      <c r="H17" s="177" t="s">
        <v>299</v>
      </c>
      <c r="I17" s="177" t="s">
        <v>300</v>
      </c>
      <c r="J17" s="178"/>
      <c r="K17" s="179"/>
      <c r="L17" s="180"/>
      <c r="M17" s="181" t="s">
        <v>267</v>
      </c>
      <c r="N17" s="181" t="s">
        <v>267</v>
      </c>
    </row>
    <row r="18" spans="1:14" ht="82.5" customHeight="1">
      <c r="A18" s="171"/>
      <c r="B18" s="172" t="s">
        <v>301</v>
      </c>
      <c r="C18" s="186" t="s">
        <v>302</v>
      </c>
      <c r="D18" s="349" t="s">
        <v>277</v>
      </c>
      <c r="E18" s="174" t="s">
        <v>284</v>
      </c>
      <c r="F18" s="175" t="s">
        <v>303</v>
      </c>
      <c r="G18" s="176" t="s">
        <v>273</v>
      </c>
      <c r="H18" s="177" t="s">
        <v>265</v>
      </c>
      <c r="I18" s="177" t="s">
        <v>304</v>
      </c>
      <c r="J18" s="178"/>
      <c r="K18" s="179"/>
      <c r="L18" s="180"/>
      <c r="M18" s="181" t="s">
        <v>267</v>
      </c>
      <c r="N18" s="182"/>
    </row>
    <row r="19" spans="1:14" ht="62.25" customHeight="1">
      <c r="A19" s="171"/>
      <c r="B19" s="172" t="s">
        <v>287</v>
      </c>
      <c r="C19" s="186" t="s">
        <v>305</v>
      </c>
      <c r="D19" s="348" t="s">
        <v>289</v>
      </c>
      <c r="E19" s="174" t="s">
        <v>271</v>
      </c>
      <c r="F19" s="175" t="s">
        <v>306</v>
      </c>
      <c r="G19" s="176" t="s">
        <v>273</v>
      </c>
      <c r="H19" s="177" t="s">
        <v>291</v>
      </c>
      <c r="I19" s="177" t="s">
        <v>307</v>
      </c>
      <c r="J19" s="178"/>
      <c r="K19" s="179"/>
      <c r="L19" s="180"/>
      <c r="M19" s="181" t="s">
        <v>267</v>
      </c>
      <c r="N19" s="182"/>
    </row>
    <row r="20" spans="1:14" ht="103.5" customHeight="1">
      <c r="A20" s="171"/>
      <c r="B20" s="172" t="s">
        <v>308</v>
      </c>
      <c r="C20" s="186" t="s">
        <v>309</v>
      </c>
      <c r="D20" s="348" t="s">
        <v>270</v>
      </c>
      <c r="E20" s="174" t="s">
        <v>284</v>
      </c>
      <c r="F20" s="175" t="s">
        <v>310</v>
      </c>
      <c r="G20" s="184" t="s">
        <v>264</v>
      </c>
      <c r="H20" s="177" t="s">
        <v>265</v>
      </c>
      <c r="I20" s="177" t="s">
        <v>292</v>
      </c>
      <c r="J20" s="178"/>
      <c r="K20" s="179"/>
      <c r="L20" s="180"/>
      <c r="M20" s="181" t="s">
        <v>267</v>
      </c>
      <c r="N20" s="181" t="s">
        <v>267</v>
      </c>
    </row>
    <row r="21" spans="1:14" ht="63.75" customHeight="1">
      <c r="A21" s="171"/>
      <c r="B21" s="172" t="s">
        <v>243</v>
      </c>
      <c r="C21" s="186" t="s">
        <v>311</v>
      </c>
      <c r="D21" s="349" t="s">
        <v>261</v>
      </c>
      <c r="E21" s="174" t="s">
        <v>271</v>
      </c>
      <c r="F21" s="175" t="s">
        <v>312</v>
      </c>
      <c r="G21" s="176" t="s">
        <v>273</v>
      </c>
      <c r="H21" s="177" t="s">
        <v>291</v>
      </c>
      <c r="I21" s="177" t="s">
        <v>313</v>
      </c>
      <c r="J21" s="178"/>
      <c r="K21" s="179"/>
      <c r="L21" s="180"/>
      <c r="M21" s="181" t="s">
        <v>267</v>
      </c>
      <c r="N21" s="182"/>
    </row>
    <row r="22" spans="1:14" ht="15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</row>
    <row r="23" spans="1:14" ht="28.5">
      <c r="B23" s="713"/>
      <c r="C23" s="713"/>
      <c r="D23" s="713"/>
      <c r="E23" s="713"/>
      <c r="F23" s="713"/>
      <c r="G23" s="713"/>
      <c r="H23" s="713"/>
      <c r="I23" s="713"/>
      <c r="J23" s="714"/>
      <c r="K23" s="714"/>
      <c r="L23" s="714"/>
      <c r="M23" s="714"/>
      <c r="N23" s="714"/>
    </row>
  </sheetData>
  <mergeCells count="11">
    <mergeCell ref="H9:I9"/>
    <mergeCell ref="J9:N9"/>
    <mergeCell ref="B23:N23"/>
    <mergeCell ref="H2:I2"/>
    <mergeCell ref="B3:F3"/>
    <mergeCell ref="H3:I3"/>
    <mergeCell ref="H4:I4"/>
    <mergeCell ref="B5:F7"/>
    <mergeCell ref="H5:I5"/>
    <mergeCell ref="H6:I6"/>
    <mergeCell ref="H7:I7"/>
  </mergeCells>
  <conditionalFormatting sqref="E11:E21">
    <cfRule type="containsText" dxfId="18" priority="3" operator="containsText" text="Low">
      <formula>NOT(ISERROR(SEARCH("Low",E11)))</formula>
    </cfRule>
    <cfRule type="containsText" dxfId="17" priority="4" operator="containsText" text="Medium">
      <formula>NOT(ISERROR(SEARCH("Medium",E11)))</formula>
    </cfRule>
    <cfRule type="containsText" dxfId="16" priority="5" operator="containsText" text="High">
      <formula>NOT(ISERROR(SEARCH("High",E11)))</formula>
    </cfRule>
  </conditionalFormatting>
  <conditionalFormatting sqref="G11:G21">
    <cfRule type="containsText" dxfId="15" priority="1" operator="containsText" text="YES">
      <formula>NOT(ISERROR(SEARCH("YES",G11)))</formula>
    </cfRule>
    <cfRule type="containsText" dxfId="14" priority="2" operator="containsText" text="NO">
      <formula>NOT(ISERROR(SEARCH("NO",G11)))</formula>
    </cfRule>
  </conditionalFormatting>
  <hyperlinks>
    <hyperlink ref="D18" r:id="rId1" xr:uid="{75088B34-367E-4F10-A53A-9A2CC4E38892}"/>
    <hyperlink ref="D19" r:id="rId2" xr:uid="{25624E09-E045-4298-B4AF-9B89F016676C}"/>
    <hyperlink ref="D20" r:id="rId3" xr:uid="{BC9EAF80-A75B-4A69-A011-C0EA4C4C1E09}"/>
    <hyperlink ref="D21" r:id="rId4" xr:uid="{929AD05F-29B7-4D5B-9785-41320AAAC66D}"/>
    <hyperlink ref="D15" r:id="rId5" xr:uid="{A9F80A6D-8F9B-42B9-B282-59C41562D9C9}"/>
    <hyperlink ref="D13" r:id="rId6" xr:uid="{9BB1EF7A-27E2-40A7-978D-5250DA2F1C21}"/>
    <hyperlink ref="D16" r:id="rId7" xr:uid="{7089BA27-98CC-4D98-BFEE-16D09C36D1F1}"/>
    <hyperlink ref="D14" r:id="rId8" xr:uid="{402DA900-15E7-4672-B522-FF53FD923DC7}"/>
    <hyperlink ref="D12" r:id="rId9" xr:uid="{E3C523E3-63F7-424C-AFE3-649D3DBA6130}"/>
    <hyperlink ref="D17" r:id="rId10" xr:uid="{80BCE1FE-1D48-45B0-BE57-E31DFFE47B2F}"/>
    <hyperlink ref="D11" r:id="rId11" xr:uid="{7679E579-CEEF-4EC4-9B75-571E725533EE}"/>
  </hyperlinks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Z997"/>
  <sheetViews>
    <sheetView showGridLines="0" topLeftCell="A19" zoomScale="40" zoomScaleNormal="40" workbookViewId="0">
      <selection activeCell="C35" sqref="C35"/>
    </sheetView>
  </sheetViews>
  <sheetFormatPr defaultColWidth="12.625" defaultRowHeight="15" customHeight="1" outlineLevelRow="2"/>
  <cols>
    <col min="2" max="2" width="15.875" customWidth="1"/>
    <col min="3" max="3" width="68.375" customWidth="1"/>
    <col min="4" max="4" width="31" customWidth="1"/>
    <col min="5" max="5" width="31.625" customWidth="1"/>
    <col min="6" max="6" width="17.625" style="59" bestFit="1" customWidth="1"/>
    <col min="7" max="7" width="25.875" style="59" customWidth="1"/>
    <col min="8" max="10" width="17.625" style="59" customWidth="1"/>
    <col min="11" max="11" width="24.25" style="95" customWidth="1"/>
    <col min="12" max="12" width="24.25" style="59" customWidth="1"/>
    <col min="13" max="13" width="23.75" style="57" customWidth="1"/>
    <col min="14" max="26" width="9.375" customWidth="1"/>
  </cols>
  <sheetData>
    <row r="1" spans="1:26" ht="29.1" customHeight="1">
      <c r="C1" s="688" t="s">
        <v>314</v>
      </c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6" customHeight="1">
      <c r="B2" s="54"/>
      <c r="C2" s="54"/>
      <c r="D2" s="54"/>
      <c r="E2" s="54"/>
      <c r="F2" s="58"/>
      <c r="G2" s="58"/>
      <c r="H2" s="58"/>
      <c r="I2" s="58"/>
      <c r="J2" s="58"/>
      <c r="K2" s="94"/>
      <c r="L2" s="58"/>
      <c r="M2" s="56"/>
    </row>
    <row r="3" spans="1:26" ht="24.6" customHeight="1">
      <c r="B3" s="743" t="s">
        <v>315</v>
      </c>
      <c r="C3" s="733" t="s">
        <v>316</v>
      </c>
      <c r="D3" s="735" t="s">
        <v>317</v>
      </c>
      <c r="E3" s="744" t="s">
        <v>318</v>
      </c>
      <c r="F3" s="734" t="s">
        <v>319</v>
      </c>
      <c r="G3" s="738" t="s">
        <v>320</v>
      </c>
      <c r="H3" s="738" t="s">
        <v>321</v>
      </c>
      <c r="I3" s="738" t="s">
        <v>322</v>
      </c>
      <c r="J3" s="738" t="s">
        <v>323</v>
      </c>
      <c r="K3" s="740" t="s">
        <v>324</v>
      </c>
      <c r="L3" s="738" t="s">
        <v>325</v>
      </c>
      <c r="M3" s="735" t="s">
        <v>326</v>
      </c>
      <c r="N3" s="19"/>
      <c r="O3" s="55"/>
      <c r="P3" s="55"/>
      <c r="Q3" s="55"/>
      <c r="R3" s="55"/>
      <c r="S3" s="55"/>
      <c r="T3" s="19"/>
      <c r="U3" s="19"/>
      <c r="V3" s="19"/>
      <c r="W3" s="19"/>
      <c r="X3" s="19"/>
      <c r="Y3" s="19"/>
      <c r="Z3" s="19"/>
    </row>
    <row r="4" spans="1:26" ht="30.6" customHeight="1">
      <c r="B4" s="743"/>
      <c r="C4" s="733"/>
      <c r="D4" s="737"/>
      <c r="E4" s="745"/>
      <c r="F4" s="734"/>
      <c r="G4" s="739"/>
      <c r="H4" s="739"/>
      <c r="I4" s="739"/>
      <c r="J4" s="751"/>
      <c r="K4" s="741"/>
      <c r="L4" s="742"/>
      <c r="M4" s="736"/>
      <c r="O4" s="746"/>
      <c r="P4" s="746"/>
      <c r="Q4" s="746"/>
      <c r="R4" s="746"/>
      <c r="S4" s="746"/>
    </row>
    <row r="5" spans="1:26" s="57" customFormat="1" ht="40.5" customHeight="1">
      <c r="B5" s="344"/>
      <c r="C5" s="345"/>
      <c r="D5" s="340">
        <v>45870</v>
      </c>
      <c r="E5" s="332">
        <f>E45</f>
        <v>45991</v>
      </c>
      <c r="F5" s="235">
        <f>SUM(F7,F23)</f>
        <v>680</v>
      </c>
      <c r="G5" s="236">
        <v>5</v>
      </c>
      <c r="H5" s="236">
        <v>1</v>
      </c>
      <c r="I5" s="236">
        <v>15</v>
      </c>
      <c r="J5" s="236"/>
      <c r="K5" s="347">
        <f>SUM(M47+M48)</f>
        <v>16541342.443999998</v>
      </c>
      <c r="L5" s="343">
        <f>F47</f>
        <v>15037584.039999999</v>
      </c>
      <c r="M5" s="347">
        <f>SUM(M47+M48)</f>
        <v>16541342.443999998</v>
      </c>
      <c r="N5" s="346"/>
      <c r="O5" s="746"/>
      <c r="P5" s="746"/>
      <c r="Q5" s="746"/>
      <c r="R5" s="746"/>
      <c r="S5" s="746"/>
      <c r="T5" s="346"/>
      <c r="U5" s="346"/>
      <c r="V5" s="346"/>
      <c r="W5" s="346"/>
      <c r="X5" s="346"/>
      <c r="Y5" s="346"/>
      <c r="Z5" s="346"/>
    </row>
    <row r="6" spans="1:26" ht="15" customHeight="1">
      <c r="B6" s="237"/>
      <c r="C6" s="750" t="s">
        <v>327</v>
      </c>
      <c r="D6" s="749"/>
      <c r="E6" s="749"/>
      <c r="F6" s="749"/>
      <c r="G6" s="748"/>
      <c r="H6" s="748"/>
      <c r="I6" s="748"/>
      <c r="J6" s="748"/>
      <c r="K6" s="748"/>
      <c r="L6" s="749"/>
      <c r="M6" s="749"/>
      <c r="N6" s="17"/>
      <c r="O6" s="746"/>
      <c r="P6" s="746"/>
      <c r="Q6" s="746"/>
      <c r="R6" s="746"/>
      <c r="S6" s="746"/>
      <c r="T6" s="17"/>
      <c r="U6" s="17"/>
      <c r="V6" s="17"/>
      <c r="W6" s="17"/>
      <c r="X6" s="17"/>
      <c r="Y6" s="17"/>
      <c r="Z6" s="17"/>
    </row>
    <row r="7" spans="1:26" ht="15" customHeight="1">
      <c r="B7" s="238"/>
      <c r="C7" s="239"/>
      <c r="D7" s="240"/>
      <c r="E7" s="240"/>
      <c r="F7" s="241">
        <f>F8+F12</f>
        <v>16</v>
      </c>
      <c r="G7" s="241"/>
      <c r="H7" s="241"/>
      <c r="I7" s="241"/>
      <c r="J7" s="241"/>
      <c r="K7" s="375"/>
      <c r="L7" s="375"/>
      <c r="M7" s="376">
        <f>SUM(L8:L12)</f>
        <v>864974.03</v>
      </c>
      <c r="N7" s="17"/>
      <c r="O7" s="746"/>
      <c r="P7" s="746"/>
      <c r="Q7" s="746"/>
      <c r="R7" s="746"/>
      <c r="S7" s="746"/>
      <c r="T7" s="17"/>
      <c r="U7" s="17"/>
      <c r="V7" s="17"/>
      <c r="W7" s="17"/>
      <c r="X7" s="17"/>
      <c r="Y7" s="17"/>
      <c r="Z7" s="17"/>
    </row>
    <row r="8" spans="1:26" ht="15" customHeight="1">
      <c r="B8" s="242"/>
      <c r="C8" s="243" t="s">
        <v>328</v>
      </c>
      <c r="D8" s="329">
        <v>45870</v>
      </c>
      <c r="E8" s="337">
        <v>45870</v>
      </c>
      <c r="F8" s="244">
        <f>SUM(F9:F11)</f>
        <v>8</v>
      </c>
      <c r="G8" s="244" t="s">
        <v>329</v>
      </c>
      <c r="H8" s="244" t="s">
        <v>330</v>
      </c>
      <c r="I8" s="244" t="s">
        <v>331</v>
      </c>
      <c r="J8" s="244" t="s">
        <v>332</v>
      </c>
      <c r="K8" s="377">
        <f>SUM(K9:K11)</f>
        <v>175000</v>
      </c>
      <c r="L8" s="377">
        <f>SUM(L9:L11)</f>
        <v>371875</v>
      </c>
      <c r="M8" s="378"/>
      <c r="N8" s="17"/>
      <c r="O8" s="746"/>
      <c r="P8" s="746"/>
      <c r="Q8" s="746"/>
      <c r="R8" s="746"/>
      <c r="S8" s="746"/>
      <c r="T8" s="17"/>
      <c r="U8" s="17"/>
      <c r="V8" s="17"/>
      <c r="W8" s="17"/>
      <c r="X8" s="17"/>
      <c r="Y8" s="17"/>
      <c r="Z8" s="17"/>
    </row>
    <row r="9" spans="1:26" ht="30" customHeight="1">
      <c r="B9" s="245" t="s">
        <v>333</v>
      </c>
      <c r="C9" s="325" t="s">
        <v>334</v>
      </c>
      <c r="D9" s="338">
        <v>45870</v>
      </c>
      <c r="E9" s="339">
        <f>E8</f>
        <v>45870</v>
      </c>
      <c r="F9" s="247">
        <v>3</v>
      </c>
      <c r="G9" s="248" t="s">
        <v>335</v>
      </c>
      <c r="H9" s="247" t="s">
        <v>336</v>
      </c>
      <c r="I9" s="247" t="s">
        <v>337</v>
      </c>
      <c r="J9" s="383">
        <v>21875</v>
      </c>
      <c r="K9" s="379">
        <f>F9*J9</f>
        <v>65625</v>
      </c>
      <c r="L9" s="379">
        <f>K9</f>
        <v>65625</v>
      </c>
      <c r="M9" s="380"/>
      <c r="N9" s="17"/>
      <c r="O9" s="746"/>
      <c r="P9" s="746"/>
      <c r="Q9" s="746"/>
      <c r="R9" s="746"/>
      <c r="S9" s="746"/>
      <c r="T9" s="17"/>
      <c r="U9" s="17"/>
      <c r="V9" s="17"/>
      <c r="W9" s="17"/>
      <c r="X9" s="17"/>
      <c r="Y9" s="17"/>
      <c r="Z9" s="17"/>
    </row>
    <row r="10" spans="1:26" ht="28.5" customHeight="1">
      <c r="B10" s="245" t="s">
        <v>338</v>
      </c>
      <c r="C10" s="326" t="s">
        <v>339</v>
      </c>
      <c r="D10" s="338">
        <v>45870</v>
      </c>
      <c r="E10" s="339">
        <f>E8</f>
        <v>45870</v>
      </c>
      <c r="F10" s="247">
        <v>3</v>
      </c>
      <c r="G10" s="248" t="s">
        <v>335</v>
      </c>
      <c r="H10" s="247" t="s">
        <v>336</v>
      </c>
      <c r="I10" s="247" t="s">
        <v>337</v>
      </c>
      <c r="J10" s="383">
        <v>21875</v>
      </c>
      <c r="K10" s="379">
        <f t="shared" ref="K10:K21" si="0">F10*J10</f>
        <v>65625</v>
      </c>
      <c r="L10" s="379">
        <f>L9+K10</f>
        <v>131250</v>
      </c>
      <c r="M10" s="380"/>
      <c r="N10" s="17"/>
      <c r="O10" s="746"/>
      <c r="P10" s="746"/>
      <c r="Q10" s="746"/>
      <c r="R10" s="746"/>
      <c r="S10" s="746"/>
      <c r="T10" s="17"/>
      <c r="U10" s="17"/>
      <c r="V10" s="17"/>
      <c r="W10" s="17"/>
      <c r="X10" s="17"/>
      <c r="Y10" s="17"/>
      <c r="Z10" s="17"/>
    </row>
    <row r="11" spans="1:26" ht="26.25" customHeight="1">
      <c r="B11" s="250" t="s">
        <v>340</v>
      </c>
      <c r="C11" s="251" t="s">
        <v>341</v>
      </c>
      <c r="D11" s="338">
        <v>45870</v>
      </c>
      <c r="E11" s="339">
        <f>E8</f>
        <v>45870</v>
      </c>
      <c r="F11" s="247">
        <v>2</v>
      </c>
      <c r="G11" s="248" t="s">
        <v>335</v>
      </c>
      <c r="H11" s="247" t="s">
        <v>336</v>
      </c>
      <c r="I11" s="247" t="s">
        <v>337</v>
      </c>
      <c r="J11" s="383">
        <v>21875</v>
      </c>
      <c r="K11" s="379">
        <f t="shared" si="0"/>
        <v>43750</v>
      </c>
      <c r="L11" s="379">
        <f>L10+K11</f>
        <v>175000</v>
      </c>
      <c r="M11" s="380"/>
      <c r="N11" s="17"/>
      <c r="O11" s="746"/>
      <c r="P11" s="746"/>
      <c r="Q11" s="746"/>
      <c r="R11" s="746"/>
      <c r="S11" s="746"/>
      <c r="T11" s="17"/>
      <c r="U11" s="17"/>
      <c r="V11" s="17"/>
      <c r="W11" s="17"/>
      <c r="X11" s="17"/>
      <c r="Y11" s="17"/>
      <c r="Z11" s="17"/>
    </row>
    <row r="12" spans="1:26" ht="15" customHeight="1">
      <c r="B12" s="252"/>
      <c r="C12" s="253" t="s">
        <v>342</v>
      </c>
      <c r="D12" s="329">
        <v>45870</v>
      </c>
      <c r="E12" s="330">
        <v>45871</v>
      </c>
      <c r="F12" s="244">
        <f>SUM(F13:F20)</f>
        <v>8</v>
      </c>
      <c r="G12" s="244" t="s">
        <v>329</v>
      </c>
      <c r="H12" s="244" t="s">
        <v>330</v>
      </c>
      <c r="I12" s="244" t="s">
        <v>331</v>
      </c>
      <c r="J12" s="244" t="str">
        <f>J8</f>
        <v>Por hora</v>
      </c>
      <c r="K12" s="377">
        <f>SUM(K13:K20)</f>
        <v>121224.02999999998</v>
      </c>
      <c r="L12" s="377">
        <f>SUM(L13:L20)</f>
        <v>121224.02999999998</v>
      </c>
      <c r="M12" s="381"/>
      <c r="N12" s="17"/>
      <c r="O12" s="746"/>
      <c r="P12" s="746"/>
      <c r="Q12" s="746"/>
      <c r="R12" s="746"/>
      <c r="S12" s="746"/>
      <c r="T12" s="17"/>
      <c r="U12" s="17"/>
      <c r="V12" s="17"/>
      <c r="W12" s="17"/>
      <c r="X12" s="17"/>
      <c r="Y12" s="17"/>
      <c r="Z12" s="17"/>
    </row>
    <row r="13" spans="1:26" ht="36" customHeight="1">
      <c r="B13" s="254" t="s">
        <v>343</v>
      </c>
      <c r="C13" s="327" t="s">
        <v>344</v>
      </c>
      <c r="D13" s="331">
        <v>45870</v>
      </c>
      <c r="E13" s="332">
        <f>E12</f>
        <v>45871</v>
      </c>
      <c r="F13" s="255">
        <f>E13-D13</f>
        <v>1</v>
      </c>
      <c r="G13" s="247" t="s">
        <v>345</v>
      </c>
      <c r="H13" s="247" t="s">
        <v>336</v>
      </c>
      <c r="I13" s="247" t="s">
        <v>346</v>
      </c>
      <c r="J13" s="247">
        <v>14471</v>
      </c>
      <c r="K13" s="379">
        <f t="shared" si="0"/>
        <v>14471</v>
      </c>
      <c r="L13" s="379">
        <f t="shared" ref="L13:L21" si="1">K13</f>
        <v>14471</v>
      </c>
      <c r="M13" s="380"/>
      <c r="N13" s="17"/>
      <c r="O13" s="746"/>
      <c r="P13" s="746"/>
      <c r="Q13" s="746"/>
      <c r="R13" s="746"/>
      <c r="S13" s="746"/>
      <c r="T13" s="17"/>
      <c r="U13" s="17"/>
      <c r="V13" s="17"/>
      <c r="W13" s="17"/>
      <c r="X13" s="17"/>
      <c r="Y13" s="17"/>
      <c r="Z13" s="17"/>
    </row>
    <row r="14" spans="1:26" ht="46.5" customHeight="1">
      <c r="B14" s="254" t="s">
        <v>347</v>
      </c>
      <c r="C14" s="327" t="s">
        <v>348</v>
      </c>
      <c r="D14" s="331">
        <v>45870</v>
      </c>
      <c r="E14" s="332">
        <f>E12</f>
        <v>45871</v>
      </c>
      <c r="F14" s="255">
        <f t="shared" ref="F14:F20" si="2">E14-D14</f>
        <v>1</v>
      </c>
      <c r="G14" s="247" t="s">
        <v>349</v>
      </c>
      <c r="H14" s="247" t="s">
        <v>336</v>
      </c>
      <c r="I14" s="247" t="s">
        <v>346</v>
      </c>
      <c r="J14" s="247">
        <v>15132</v>
      </c>
      <c r="K14" s="379">
        <f t="shared" si="0"/>
        <v>15132</v>
      </c>
      <c r="L14" s="379">
        <f t="shared" si="1"/>
        <v>15132</v>
      </c>
      <c r="M14" s="380"/>
      <c r="N14" s="17"/>
      <c r="O14" s="746"/>
      <c r="P14" s="746"/>
      <c r="Q14" s="746"/>
      <c r="R14" s="746"/>
      <c r="S14" s="746"/>
      <c r="T14" s="17"/>
      <c r="U14" s="17"/>
      <c r="V14" s="17"/>
      <c r="W14" s="17"/>
      <c r="X14" s="17"/>
      <c r="Y14" s="17"/>
      <c r="Z14" s="17"/>
    </row>
    <row r="15" spans="1:26" ht="59.25" customHeight="1">
      <c r="A15" s="50"/>
      <c r="B15" s="254" t="s">
        <v>350</v>
      </c>
      <c r="C15" s="327" t="s">
        <v>351</v>
      </c>
      <c r="D15" s="331">
        <v>45870</v>
      </c>
      <c r="E15" s="332">
        <f>E12</f>
        <v>45871</v>
      </c>
      <c r="F15" s="255">
        <f t="shared" si="2"/>
        <v>1</v>
      </c>
      <c r="G15" s="247" t="s">
        <v>352</v>
      </c>
      <c r="H15" s="247" t="s">
        <v>336</v>
      </c>
      <c r="I15" s="247" t="s">
        <v>346</v>
      </c>
      <c r="J15" s="247">
        <v>14587.81</v>
      </c>
      <c r="K15" s="379">
        <f t="shared" si="0"/>
        <v>14587.81</v>
      </c>
      <c r="L15" s="379">
        <f t="shared" si="1"/>
        <v>14587.81</v>
      </c>
      <c r="M15" s="380"/>
      <c r="N15" s="17"/>
      <c r="O15" s="746"/>
      <c r="P15" s="746"/>
      <c r="Q15" s="746"/>
      <c r="R15" s="746"/>
      <c r="S15" s="746"/>
      <c r="T15" s="17"/>
      <c r="U15" s="17"/>
      <c r="V15" s="17"/>
      <c r="W15" s="17"/>
      <c r="X15" s="17"/>
      <c r="Y15" s="17"/>
      <c r="Z15" s="17"/>
    </row>
    <row r="16" spans="1:26" ht="42" customHeight="1">
      <c r="A16" s="50"/>
      <c r="B16" s="254" t="s">
        <v>353</v>
      </c>
      <c r="C16" s="325" t="s">
        <v>354</v>
      </c>
      <c r="D16" s="331">
        <v>45870</v>
      </c>
      <c r="E16" s="332">
        <f>E12</f>
        <v>45871</v>
      </c>
      <c r="F16" s="255">
        <f t="shared" si="2"/>
        <v>1</v>
      </c>
      <c r="G16" s="247" t="s">
        <v>355</v>
      </c>
      <c r="H16" s="247" t="s">
        <v>336</v>
      </c>
      <c r="I16" s="247" t="s">
        <v>346</v>
      </c>
      <c r="J16" s="247">
        <v>20192.310000000001</v>
      </c>
      <c r="K16" s="379">
        <f t="shared" si="0"/>
        <v>20192.310000000001</v>
      </c>
      <c r="L16" s="379">
        <f t="shared" si="1"/>
        <v>20192.310000000001</v>
      </c>
      <c r="M16" s="380"/>
      <c r="N16" s="17"/>
      <c r="O16" s="746"/>
      <c r="P16" s="746"/>
      <c r="Q16" s="746"/>
      <c r="R16" s="746"/>
      <c r="S16" s="746"/>
      <c r="T16" s="17"/>
      <c r="U16" s="17"/>
      <c r="V16" s="17"/>
      <c r="W16" s="17"/>
      <c r="X16" s="17"/>
      <c r="Y16" s="17"/>
      <c r="Z16" s="17"/>
    </row>
    <row r="17" spans="1:26" ht="37.5" customHeight="1">
      <c r="A17" s="50"/>
      <c r="B17" s="254" t="s">
        <v>356</v>
      </c>
      <c r="C17" s="327" t="s">
        <v>357</v>
      </c>
      <c r="D17" s="331">
        <v>45870</v>
      </c>
      <c r="E17" s="332">
        <f>E12</f>
        <v>45871</v>
      </c>
      <c r="F17" s="255">
        <f t="shared" si="2"/>
        <v>1</v>
      </c>
      <c r="G17" s="247" t="s">
        <v>358</v>
      </c>
      <c r="H17" s="247" t="s">
        <v>336</v>
      </c>
      <c r="I17" s="247" t="s">
        <v>346</v>
      </c>
      <c r="J17" s="247">
        <v>23798.080000000002</v>
      </c>
      <c r="K17" s="379">
        <f t="shared" si="0"/>
        <v>23798.080000000002</v>
      </c>
      <c r="L17" s="379">
        <f t="shared" si="1"/>
        <v>23798.080000000002</v>
      </c>
      <c r="M17" s="380"/>
      <c r="N17" s="17"/>
      <c r="O17" s="746"/>
      <c r="P17" s="746"/>
      <c r="Q17" s="746"/>
      <c r="R17" s="746"/>
      <c r="S17" s="746"/>
      <c r="T17" s="17"/>
      <c r="U17" s="17"/>
      <c r="V17" s="17"/>
      <c r="W17" s="17"/>
      <c r="X17" s="17"/>
      <c r="Y17" s="17"/>
      <c r="Z17" s="17"/>
    </row>
    <row r="18" spans="1:26" ht="36.75" customHeight="1">
      <c r="A18" s="50"/>
      <c r="B18" s="254" t="s">
        <v>359</v>
      </c>
      <c r="C18" s="325" t="s">
        <v>360</v>
      </c>
      <c r="D18" s="331">
        <v>45870</v>
      </c>
      <c r="E18" s="332">
        <f>E12</f>
        <v>45871</v>
      </c>
      <c r="F18" s="255">
        <f t="shared" si="2"/>
        <v>1</v>
      </c>
      <c r="G18" s="247" t="s">
        <v>361</v>
      </c>
      <c r="H18" s="247" t="s">
        <v>336</v>
      </c>
      <c r="I18" s="247" t="s">
        <v>346</v>
      </c>
      <c r="J18" s="247">
        <v>14086.54</v>
      </c>
      <c r="K18" s="379">
        <f t="shared" si="0"/>
        <v>14086.54</v>
      </c>
      <c r="L18" s="379">
        <f t="shared" si="1"/>
        <v>14086.54</v>
      </c>
      <c r="M18" s="380"/>
      <c r="N18" s="17"/>
      <c r="O18" s="746"/>
      <c r="P18" s="746"/>
      <c r="Q18" s="746"/>
      <c r="R18" s="746"/>
      <c r="S18" s="746"/>
      <c r="T18" s="17"/>
      <c r="U18" s="17"/>
      <c r="V18" s="17"/>
      <c r="W18" s="17"/>
      <c r="X18" s="17"/>
      <c r="Y18" s="17"/>
      <c r="Z18" s="17"/>
    </row>
    <row r="19" spans="1:26" ht="43.5" customHeight="1">
      <c r="A19" s="50"/>
      <c r="B19" s="254" t="s">
        <v>362</v>
      </c>
      <c r="C19" s="325" t="s">
        <v>363</v>
      </c>
      <c r="D19" s="331">
        <v>45870</v>
      </c>
      <c r="E19" s="332">
        <f>E12</f>
        <v>45871</v>
      </c>
      <c r="F19" s="255">
        <f t="shared" si="2"/>
        <v>1</v>
      </c>
      <c r="G19" s="247" t="s">
        <v>364</v>
      </c>
      <c r="H19" s="247" t="s">
        <v>336</v>
      </c>
      <c r="I19" s="247" t="s">
        <v>346</v>
      </c>
      <c r="J19" s="256">
        <v>12019.23</v>
      </c>
      <c r="K19" s="379">
        <f t="shared" si="0"/>
        <v>12019.23</v>
      </c>
      <c r="L19" s="379">
        <f t="shared" si="1"/>
        <v>12019.23</v>
      </c>
      <c r="M19" s="380"/>
      <c r="N19" s="17"/>
      <c r="O19" s="746"/>
      <c r="P19" s="746"/>
      <c r="Q19" s="746"/>
      <c r="R19" s="746"/>
      <c r="S19" s="746"/>
      <c r="T19" s="17"/>
      <c r="U19" s="17"/>
      <c r="V19" s="17"/>
      <c r="W19" s="17"/>
      <c r="X19" s="17"/>
      <c r="Y19" s="17"/>
      <c r="Z19" s="17"/>
    </row>
    <row r="20" spans="1:26" ht="48" customHeight="1">
      <c r="A20" s="50"/>
      <c r="B20" s="254" t="s">
        <v>365</v>
      </c>
      <c r="C20" s="325" t="s">
        <v>366</v>
      </c>
      <c r="D20" s="333">
        <v>45870</v>
      </c>
      <c r="E20" s="334">
        <f>E12</f>
        <v>45871</v>
      </c>
      <c r="F20" s="255">
        <f t="shared" si="2"/>
        <v>1</v>
      </c>
      <c r="G20" s="256" t="s">
        <v>367</v>
      </c>
      <c r="H20" s="256" t="s">
        <v>336</v>
      </c>
      <c r="I20" s="384" t="s">
        <v>346</v>
      </c>
      <c r="J20" s="257">
        <v>6937.06</v>
      </c>
      <c r="K20" s="379">
        <f t="shared" si="0"/>
        <v>6937.06</v>
      </c>
      <c r="L20" s="249">
        <f t="shared" si="1"/>
        <v>6937.06</v>
      </c>
      <c r="M20" s="380"/>
      <c r="N20" s="17"/>
      <c r="O20" s="746"/>
      <c r="P20" s="746"/>
      <c r="Q20" s="746"/>
      <c r="R20" s="746"/>
      <c r="S20" s="746"/>
      <c r="T20" s="17"/>
      <c r="U20" s="17"/>
      <c r="V20" s="17"/>
      <c r="W20" s="17"/>
      <c r="X20" s="17"/>
      <c r="Y20" s="17"/>
      <c r="Z20" s="17"/>
    </row>
    <row r="21" spans="1:26" ht="15.75">
      <c r="A21" s="50"/>
      <c r="B21" s="246"/>
      <c r="C21" s="328" t="s">
        <v>368</v>
      </c>
      <c r="D21" s="335">
        <v>45871</v>
      </c>
      <c r="E21" s="336">
        <v>45871</v>
      </c>
      <c r="F21" s="257">
        <v>8</v>
      </c>
      <c r="G21" s="257" t="s">
        <v>369</v>
      </c>
      <c r="H21" s="256" t="s">
        <v>336</v>
      </c>
      <c r="I21" s="384" t="s">
        <v>346</v>
      </c>
      <c r="J21" s="257">
        <v>24433.439999999999</v>
      </c>
      <c r="K21" s="379">
        <f t="shared" si="0"/>
        <v>195467.51999999999</v>
      </c>
      <c r="L21" s="379">
        <f t="shared" si="1"/>
        <v>195467.51999999999</v>
      </c>
      <c r="M21" s="382"/>
      <c r="N21" s="17"/>
      <c r="O21" s="746"/>
      <c r="P21" s="746"/>
      <c r="Q21" s="746"/>
      <c r="R21" s="746"/>
      <c r="S21" s="746"/>
      <c r="T21" s="17"/>
      <c r="U21" s="17"/>
      <c r="V21" s="17"/>
      <c r="W21" s="17"/>
      <c r="X21" s="17"/>
      <c r="Y21" s="17"/>
      <c r="Z21" s="17"/>
    </row>
    <row r="22" spans="1:26" ht="49.5" customHeight="1">
      <c r="A22" s="50"/>
      <c r="B22" s="258"/>
      <c r="C22" s="747" t="s">
        <v>182</v>
      </c>
      <c r="D22" s="748"/>
      <c r="E22" s="748"/>
      <c r="F22" s="748"/>
      <c r="G22" s="748"/>
      <c r="H22" s="748"/>
      <c r="I22" s="748"/>
      <c r="J22" s="748"/>
      <c r="K22" s="748"/>
      <c r="L22" s="748"/>
      <c r="M22" s="749"/>
      <c r="N22" s="17"/>
      <c r="O22" s="746"/>
      <c r="P22" s="746"/>
      <c r="Q22" s="746"/>
      <c r="R22" s="746"/>
      <c r="S22" s="746"/>
      <c r="T22" s="17"/>
      <c r="U22" s="17"/>
      <c r="V22" s="17"/>
      <c r="W22" s="17"/>
      <c r="X22" s="17"/>
      <c r="Y22" s="17"/>
      <c r="Z22" s="17"/>
    </row>
    <row r="23" spans="1:26" ht="46.5" customHeight="1">
      <c r="A23" s="50"/>
      <c r="B23" s="259"/>
      <c r="C23" s="260"/>
      <c r="D23" s="260"/>
      <c r="E23" s="260"/>
      <c r="F23" s="261">
        <f>SUM(F24+F33+F42)</f>
        <v>664</v>
      </c>
      <c r="G23" s="261"/>
      <c r="H23" s="261"/>
      <c r="I23" s="261"/>
      <c r="J23" s="261"/>
      <c r="K23" s="262"/>
      <c r="L23" s="261"/>
      <c r="M23" s="263"/>
      <c r="N23" s="17"/>
      <c r="O23" s="746"/>
      <c r="P23" s="746"/>
      <c r="Q23" s="746"/>
      <c r="R23" s="746"/>
      <c r="S23" s="746"/>
      <c r="T23" s="17"/>
      <c r="U23" s="17"/>
      <c r="V23" s="17"/>
      <c r="W23" s="17"/>
      <c r="X23" s="17"/>
      <c r="Y23" s="17"/>
      <c r="Z23" s="17"/>
    </row>
    <row r="24" spans="1:26" ht="15.75">
      <c r="B24" s="264"/>
      <c r="C24" s="265" t="s">
        <v>183</v>
      </c>
      <c r="D24" s="266"/>
      <c r="E24" s="266"/>
      <c r="F24" s="267">
        <f>(F25+F29)</f>
        <v>308</v>
      </c>
      <c r="G24" s="267"/>
      <c r="H24" s="267"/>
      <c r="I24" s="267"/>
      <c r="J24" s="267"/>
      <c r="K24" s="268"/>
      <c r="L24" s="267"/>
      <c r="M24" s="269">
        <f>SUM(M25+M29)</f>
        <v>5982284</v>
      </c>
      <c r="N24" s="20"/>
      <c r="O24" s="746"/>
      <c r="P24" s="746"/>
      <c r="Q24" s="746"/>
      <c r="R24" s="746"/>
      <c r="S24" s="746"/>
    </row>
    <row r="25" spans="1:26" ht="22.5" customHeight="1">
      <c r="B25" s="270"/>
      <c r="C25" s="271" t="s">
        <v>370</v>
      </c>
      <c r="D25" s="270"/>
      <c r="E25" s="270"/>
      <c r="F25" s="272">
        <f>SUM(F26:F28)</f>
        <v>128</v>
      </c>
      <c r="G25" s="272"/>
      <c r="H25" s="272"/>
      <c r="I25" s="272"/>
      <c r="J25" s="272"/>
      <c r="K25" s="273"/>
      <c r="L25" s="272"/>
      <c r="M25" s="274">
        <f>SUM(L26:L28)</f>
        <v>2422392</v>
      </c>
      <c r="O25" s="746"/>
      <c r="P25" s="746"/>
      <c r="Q25" s="746"/>
      <c r="R25" s="746"/>
      <c r="S25" s="746"/>
    </row>
    <row r="26" spans="1:26" ht="48.75" customHeight="1">
      <c r="B26" s="250" t="s">
        <v>356</v>
      </c>
      <c r="C26" s="275" t="s">
        <v>371</v>
      </c>
      <c r="D26" s="340">
        <v>45871</v>
      </c>
      <c r="E26" s="340">
        <v>45879</v>
      </c>
      <c r="F26" s="276">
        <v>56</v>
      </c>
      <c r="G26" s="248" t="s">
        <v>372</v>
      </c>
      <c r="H26" s="247" t="s">
        <v>330</v>
      </c>
      <c r="I26" s="276" t="s">
        <v>373</v>
      </c>
      <c r="J26" s="247">
        <v>15132</v>
      </c>
      <c r="K26" s="379">
        <f t="shared" ref="K26:K32" si="3">F26*J26</f>
        <v>847392</v>
      </c>
      <c r="L26" s="379">
        <f>K26</f>
        <v>847392</v>
      </c>
      <c r="M26" s="277"/>
      <c r="N26" s="20"/>
      <c r="O26" s="746"/>
      <c r="P26" s="746"/>
      <c r="Q26" s="746"/>
      <c r="R26" s="746"/>
      <c r="S26" s="746"/>
    </row>
    <row r="27" spans="1:26" ht="62.25" customHeight="1">
      <c r="B27" s="278" t="s">
        <v>343</v>
      </c>
      <c r="C27" s="279" t="s">
        <v>374</v>
      </c>
      <c r="D27" s="340">
        <v>45879</v>
      </c>
      <c r="E27" s="340">
        <v>45886</v>
      </c>
      <c r="F27" s="276">
        <v>48</v>
      </c>
      <c r="G27" s="248" t="s">
        <v>375</v>
      </c>
      <c r="H27" s="247" t="s">
        <v>330</v>
      </c>
      <c r="I27" s="276" t="s">
        <v>376</v>
      </c>
      <c r="J27" s="383">
        <v>21875</v>
      </c>
      <c r="K27" s="379">
        <f t="shared" si="3"/>
        <v>1050000</v>
      </c>
      <c r="L27" s="249">
        <f>K27</f>
        <v>1050000</v>
      </c>
      <c r="M27" s="277"/>
      <c r="N27" s="20"/>
      <c r="O27" s="746"/>
      <c r="P27" s="746"/>
      <c r="Q27" s="746"/>
      <c r="R27" s="746"/>
      <c r="S27" s="746"/>
    </row>
    <row r="28" spans="1:26" ht="47.25" customHeight="1">
      <c r="B28" s="278" t="s">
        <v>347</v>
      </c>
      <c r="C28" s="279" t="s">
        <v>377</v>
      </c>
      <c r="D28" s="340">
        <v>45886</v>
      </c>
      <c r="E28" s="340">
        <v>45889</v>
      </c>
      <c r="F28" s="276">
        <f>8*3</f>
        <v>24</v>
      </c>
      <c r="G28" s="280" t="s">
        <v>378</v>
      </c>
      <c r="H28" s="247" t="s">
        <v>330</v>
      </c>
      <c r="I28" s="276" t="s">
        <v>379</v>
      </c>
      <c r="J28" s="383">
        <v>21875</v>
      </c>
      <c r="K28" s="379">
        <f t="shared" si="3"/>
        <v>525000</v>
      </c>
      <c r="L28" s="379">
        <f>K28</f>
        <v>525000</v>
      </c>
      <c r="M28" s="277"/>
      <c r="N28" s="20"/>
      <c r="O28" s="746"/>
      <c r="P28" s="746"/>
      <c r="Q28" s="746"/>
      <c r="R28" s="746"/>
      <c r="S28" s="746"/>
    </row>
    <row r="29" spans="1:26" ht="22.5" customHeight="1">
      <c r="B29" s="270"/>
      <c r="C29" s="271" t="s">
        <v>184</v>
      </c>
      <c r="D29" s="270"/>
      <c r="E29" s="270"/>
      <c r="F29" s="272">
        <f>SUM(F30:F32)</f>
        <v>180</v>
      </c>
      <c r="G29" s="272"/>
      <c r="H29" s="272"/>
      <c r="I29" s="281"/>
      <c r="J29" s="281"/>
      <c r="K29" s="273"/>
      <c r="L29" s="272"/>
      <c r="M29" s="274">
        <f>SUM(L30:L32)</f>
        <v>3559892</v>
      </c>
      <c r="O29" s="746"/>
      <c r="P29" s="746"/>
      <c r="Q29" s="746"/>
      <c r="R29" s="746"/>
      <c r="S29" s="746"/>
    </row>
    <row r="30" spans="1:26" ht="43.5" customHeight="1">
      <c r="B30" s="278" t="s">
        <v>350</v>
      </c>
      <c r="C30" s="282" t="s">
        <v>380</v>
      </c>
      <c r="D30" s="340">
        <v>45890</v>
      </c>
      <c r="E30" s="340">
        <v>45897</v>
      </c>
      <c r="F30" s="276">
        <f>4+8*6</f>
        <v>52</v>
      </c>
      <c r="G30" s="280" t="s">
        <v>381</v>
      </c>
      <c r="H30" s="247" t="s">
        <v>330</v>
      </c>
      <c r="I30" s="385" t="s">
        <v>382</v>
      </c>
      <c r="J30" s="383">
        <v>21875</v>
      </c>
      <c r="K30" s="379">
        <f t="shared" si="3"/>
        <v>1137500</v>
      </c>
      <c r="L30" s="249">
        <f>K30</f>
        <v>1137500</v>
      </c>
      <c r="M30" s="277"/>
      <c r="N30" s="20"/>
      <c r="O30" s="746"/>
      <c r="P30" s="746"/>
      <c r="Q30" s="746"/>
      <c r="R30" s="746"/>
      <c r="S30" s="746"/>
    </row>
    <row r="31" spans="1:26" ht="45.75" customHeight="1">
      <c r="B31" s="278" t="s">
        <v>353</v>
      </c>
      <c r="C31" s="279" t="s">
        <v>383</v>
      </c>
      <c r="D31" s="340">
        <v>45897</v>
      </c>
      <c r="E31" s="340">
        <v>45905</v>
      </c>
      <c r="F31" s="276">
        <f>4*2+8*6</f>
        <v>56</v>
      </c>
      <c r="G31" s="285" t="s">
        <v>384</v>
      </c>
      <c r="H31" s="247" t="s">
        <v>330</v>
      </c>
      <c r="I31" s="385" t="s">
        <v>385</v>
      </c>
      <c r="J31" s="247">
        <v>15132</v>
      </c>
      <c r="K31" s="379">
        <f t="shared" si="3"/>
        <v>847392</v>
      </c>
      <c r="L31" s="379">
        <f>K31</f>
        <v>847392</v>
      </c>
      <c r="M31" s="277"/>
      <c r="N31" s="20"/>
    </row>
    <row r="32" spans="1:26" ht="53.25" customHeight="1">
      <c r="B32" s="278" t="s">
        <v>356</v>
      </c>
      <c r="C32" s="286" t="s">
        <v>386</v>
      </c>
      <c r="D32" s="340">
        <v>45905</v>
      </c>
      <c r="E32" s="340">
        <v>45920</v>
      </c>
      <c r="F32" s="276">
        <f>8*9</f>
        <v>72</v>
      </c>
      <c r="G32" s="283" t="s">
        <v>387</v>
      </c>
      <c r="H32" s="247" t="s">
        <v>330</v>
      </c>
      <c r="I32" s="280" t="s">
        <v>388</v>
      </c>
      <c r="J32" s="383">
        <v>21875</v>
      </c>
      <c r="K32" s="379">
        <f t="shared" si="3"/>
        <v>1575000</v>
      </c>
      <c r="L32" s="379">
        <f>K32</f>
        <v>1575000</v>
      </c>
      <c r="M32" s="277"/>
      <c r="N32" s="20"/>
    </row>
    <row r="33" spans="2:14" ht="33" customHeight="1">
      <c r="B33" s="287"/>
      <c r="C33" s="288" t="s">
        <v>185</v>
      </c>
      <c r="D33" s="266"/>
      <c r="E33" s="266"/>
      <c r="F33" s="289">
        <f>F34+F38</f>
        <v>290</v>
      </c>
      <c r="G33" s="267"/>
      <c r="H33" s="387"/>
      <c r="I33" s="386"/>
      <c r="J33" s="388"/>
      <c r="K33" s="268"/>
      <c r="L33" s="267"/>
      <c r="M33" s="269">
        <f>SUM(M34+M38)</f>
        <v>8001683</v>
      </c>
    </row>
    <row r="34" spans="2:14" ht="22.5" customHeight="1">
      <c r="B34" s="290"/>
      <c r="C34" s="291" t="s">
        <v>389</v>
      </c>
      <c r="D34" s="290"/>
      <c r="E34" s="290"/>
      <c r="F34" s="272">
        <f>SUM(F35:F37)</f>
        <v>145</v>
      </c>
      <c r="G34" s="281"/>
      <c r="H34" s="272"/>
      <c r="I34" s="293"/>
      <c r="J34" s="281"/>
      <c r="K34" s="273"/>
      <c r="L34" s="272"/>
      <c r="M34" s="274">
        <f>SUM(L35:L37)</f>
        <v>3171875</v>
      </c>
    </row>
    <row r="35" spans="2:14" ht="64.5" customHeight="1">
      <c r="B35" s="278" t="s">
        <v>359</v>
      </c>
      <c r="C35" s="286" t="s">
        <v>390</v>
      </c>
      <c r="D35" s="340">
        <v>45920</v>
      </c>
      <c r="E35" s="340">
        <v>45924</v>
      </c>
      <c r="F35" s="292">
        <v>65</v>
      </c>
      <c r="G35" s="283" t="s">
        <v>391</v>
      </c>
      <c r="H35" s="247" t="s">
        <v>330</v>
      </c>
      <c r="I35" s="385" t="s">
        <v>392</v>
      </c>
      <c r="J35" s="383">
        <v>21875</v>
      </c>
      <c r="K35" s="379">
        <f t="shared" ref="K35:K45" si="4">F35*J35</f>
        <v>1421875</v>
      </c>
      <c r="L35" s="379">
        <f>K35</f>
        <v>1421875</v>
      </c>
      <c r="M35" s="277"/>
    </row>
    <row r="36" spans="2:14" ht="64.5" customHeight="1">
      <c r="B36" s="278" t="s">
        <v>362</v>
      </c>
      <c r="C36" s="286" t="s">
        <v>393</v>
      </c>
      <c r="D36" s="340">
        <v>45924</v>
      </c>
      <c r="E36" s="340">
        <v>45928</v>
      </c>
      <c r="F36" s="292">
        <f>7*8</f>
        <v>56</v>
      </c>
      <c r="G36" s="283" t="s">
        <v>394</v>
      </c>
      <c r="H36" s="247" t="s">
        <v>330</v>
      </c>
      <c r="I36" s="385" t="s">
        <v>395</v>
      </c>
      <c r="J36" s="383">
        <v>21875</v>
      </c>
      <c r="K36" s="379">
        <f t="shared" si="4"/>
        <v>1225000</v>
      </c>
      <c r="L36" s="249">
        <f>K36</f>
        <v>1225000</v>
      </c>
      <c r="M36" s="277"/>
    </row>
    <row r="37" spans="2:14" ht="60" customHeight="1">
      <c r="B37" s="278" t="s">
        <v>365</v>
      </c>
      <c r="C37" s="282" t="s">
        <v>396</v>
      </c>
      <c r="D37" s="340">
        <v>45929</v>
      </c>
      <c r="E37" s="340">
        <v>45930</v>
      </c>
      <c r="F37" s="292">
        <f>3*8</f>
        <v>24</v>
      </c>
      <c r="G37" s="283" t="s">
        <v>397</v>
      </c>
      <c r="H37" s="247" t="s">
        <v>330</v>
      </c>
      <c r="I37" s="385" t="s">
        <v>398</v>
      </c>
      <c r="J37" s="383">
        <v>21875</v>
      </c>
      <c r="K37" s="379">
        <f t="shared" si="4"/>
        <v>525000</v>
      </c>
      <c r="L37" s="379">
        <f>K37</f>
        <v>525000</v>
      </c>
      <c r="M37" s="277"/>
    </row>
    <row r="38" spans="2:14" ht="21" customHeight="1">
      <c r="B38" s="290"/>
      <c r="C38" s="291" t="s">
        <v>399</v>
      </c>
      <c r="D38" s="290"/>
      <c r="E38" s="290"/>
      <c r="F38" s="272">
        <f>SUM(F35:F37)</f>
        <v>145</v>
      </c>
      <c r="G38" s="293"/>
      <c r="H38" s="272"/>
      <c r="I38" s="390"/>
      <c r="J38" s="389"/>
      <c r="K38" s="392"/>
      <c r="L38" s="272"/>
      <c r="M38" s="274">
        <f>SUM(L39:L41)</f>
        <v>4829808</v>
      </c>
    </row>
    <row r="39" spans="2:14" ht="32.25" customHeight="1">
      <c r="B39" s="278" t="s">
        <v>400</v>
      </c>
      <c r="C39" s="275" t="s">
        <v>401</v>
      </c>
      <c r="D39" s="340">
        <v>45931</v>
      </c>
      <c r="E39" s="340">
        <v>45940</v>
      </c>
      <c r="F39" s="276">
        <v>80</v>
      </c>
      <c r="G39" s="283" t="s">
        <v>402</v>
      </c>
      <c r="H39" s="247" t="s">
        <v>330</v>
      </c>
      <c r="I39" s="385" t="s">
        <v>403</v>
      </c>
      <c r="J39" s="247">
        <v>23798.080000000002</v>
      </c>
      <c r="K39" s="379">
        <f t="shared" si="4"/>
        <v>1903846.4000000001</v>
      </c>
      <c r="L39" s="284">
        <f>K39</f>
        <v>1903846.4000000001</v>
      </c>
      <c r="M39" s="277"/>
    </row>
    <row r="40" spans="2:14" ht="42.75" customHeight="1">
      <c r="B40" s="278" t="s">
        <v>404</v>
      </c>
      <c r="C40" s="286" t="s">
        <v>405</v>
      </c>
      <c r="D40" s="341">
        <v>45941</v>
      </c>
      <c r="E40" s="341">
        <v>45949</v>
      </c>
      <c r="F40" s="276">
        <v>20</v>
      </c>
      <c r="G40" s="283" t="s">
        <v>406</v>
      </c>
      <c r="H40" s="247" t="s">
        <v>330</v>
      </c>
      <c r="I40" s="385" t="s">
        <v>407</v>
      </c>
      <c r="J40" s="247">
        <v>23798.080000000002</v>
      </c>
      <c r="K40" s="379">
        <f t="shared" ref="K40" si="5">F40*J40</f>
        <v>475961.60000000003</v>
      </c>
      <c r="L40" s="249">
        <f>K40</f>
        <v>475961.60000000003</v>
      </c>
      <c r="M40" s="277"/>
    </row>
    <row r="41" spans="2:14" ht="45" customHeight="1">
      <c r="B41" s="278" t="s">
        <v>408</v>
      </c>
      <c r="C41" s="294" t="s">
        <v>409</v>
      </c>
      <c r="D41" s="341">
        <v>45950</v>
      </c>
      <c r="E41" s="341">
        <v>45955</v>
      </c>
      <c r="F41" s="276">
        <f>44*2</f>
        <v>88</v>
      </c>
      <c r="G41" s="283" t="s">
        <v>378</v>
      </c>
      <c r="H41" s="247" t="s">
        <v>330</v>
      </c>
      <c r="I41" s="385" t="s">
        <v>410</v>
      </c>
      <c r="J41" s="383">
        <v>21875</v>
      </c>
      <c r="K41" s="379">
        <f t="shared" si="4"/>
        <v>1925000</v>
      </c>
      <c r="L41" s="249">
        <f>L28+K41</f>
        <v>2450000</v>
      </c>
      <c r="M41" s="277"/>
    </row>
    <row r="42" spans="2:14" ht="34.5" customHeight="1">
      <c r="B42" s="287"/>
      <c r="C42" s="295" t="s">
        <v>411</v>
      </c>
      <c r="D42" s="266"/>
      <c r="E42" s="266"/>
      <c r="F42" s="296">
        <f>SUM(F43:F45)</f>
        <v>66</v>
      </c>
      <c r="G42" s="267"/>
      <c r="H42" s="267"/>
      <c r="I42" s="387"/>
      <c r="J42" s="386"/>
      <c r="K42" s="393"/>
      <c r="L42" s="267"/>
      <c r="M42" s="269">
        <f>SUM(L43:L45)</f>
        <v>1053617.04</v>
      </c>
    </row>
    <row r="43" spans="2:14" ht="40.5" customHeight="1" outlineLevel="1">
      <c r="B43" s="278" t="s">
        <v>412</v>
      </c>
      <c r="C43" s="286" t="s">
        <v>413</v>
      </c>
      <c r="D43" s="340">
        <v>45956</v>
      </c>
      <c r="E43" s="340">
        <v>45961</v>
      </c>
      <c r="F43" s="297">
        <f>(E43-D43)*2</f>
        <v>10</v>
      </c>
      <c r="G43" s="283" t="s">
        <v>414</v>
      </c>
      <c r="H43" s="247" t="s">
        <v>330</v>
      </c>
      <c r="I43" s="385" t="s">
        <v>415</v>
      </c>
      <c r="J43" s="283">
        <v>13576.92</v>
      </c>
      <c r="K43" s="379">
        <f t="shared" si="4"/>
        <v>135769.20000000001</v>
      </c>
      <c r="L43" s="284">
        <f>K43</f>
        <v>135769.20000000001</v>
      </c>
      <c r="M43" s="277"/>
    </row>
    <row r="44" spans="2:14" ht="35.25" customHeight="1" outlineLevel="2">
      <c r="B44" s="278" t="s">
        <v>416</v>
      </c>
      <c r="C44" s="294" t="s">
        <v>417</v>
      </c>
      <c r="D44" s="342">
        <v>45962</v>
      </c>
      <c r="E44" s="342">
        <v>45983</v>
      </c>
      <c r="F44" s="297">
        <f>(E44-D44)*2</f>
        <v>42</v>
      </c>
      <c r="G44" s="298" t="s">
        <v>414</v>
      </c>
      <c r="H44" s="247" t="s">
        <v>330</v>
      </c>
      <c r="I44" s="391" t="s">
        <v>418</v>
      </c>
      <c r="J44" s="283">
        <v>13576.92</v>
      </c>
      <c r="K44" s="379">
        <f t="shared" si="4"/>
        <v>570230.64</v>
      </c>
      <c r="L44" s="249">
        <f>L43+K44</f>
        <v>705999.84000000008</v>
      </c>
      <c r="M44" s="299"/>
    </row>
    <row r="45" spans="2:14" ht="43.5" customHeight="1" outlineLevel="2">
      <c r="B45" s="300" t="s">
        <v>419</v>
      </c>
      <c r="C45" s="301" t="s">
        <v>420</v>
      </c>
      <c r="D45" s="332">
        <v>45984</v>
      </c>
      <c r="E45" s="332">
        <v>45991</v>
      </c>
      <c r="F45" s="297">
        <f>(E45-D45)*2</f>
        <v>14</v>
      </c>
      <c r="G45" s="298" t="s">
        <v>421</v>
      </c>
      <c r="H45" s="247" t="s">
        <v>330</v>
      </c>
      <c r="I45" s="385" t="s">
        <v>422</v>
      </c>
      <c r="J45" s="247">
        <v>15132</v>
      </c>
      <c r="K45" s="379">
        <f t="shared" si="4"/>
        <v>211848</v>
      </c>
      <c r="L45" s="379">
        <f>K45</f>
        <v>211848</v>
      </c>
      <c r="M45" s="302"/>
      <c r="N45" s="50"/>
    </row>
    <row r="46" spans="2:14" ht="23.25" customHeight="1" outlineLevel="2">
      <c r="B46" s="303"/>
      <c r="C46" s="304"/>
      <c r="D46" s="305"/>
      <c r="E46" s="305"/>
      <c r="F46" s="306"/>
      <c r="G46" s="307"/>
      <c r="H46" s="308"/>
      <c r="I46" s="309"/>
      <c r="J46" s="394"/>
      <c r="K46" s="310"/>
      <c r="L46" s="308"/>
      <c r="M46" s="311"/>
      <c r="N46" s="50"/>
    </row>
    <row r="47" spans="2:14" ht="24" customHeight="1">
      <c r="B47" s="312"/>
      <c r="C47" s="313" t="s">
        <v>63</v>
      </c>
      <c r="D47" s="314"/>
      <c r="E47" s="314"/>
      <c r="F47" s="315">
        <f>SUM(M42,M33,M24)</f>
        <v>15037584.039999999</v>
      </c>
      <c r="G47" s="316"/>
      <c r="H47" s="316"/>
      <c r="I47" s="316"/>
      <c r="J47" s="316"/>
      <c r="K47" s="317"/>
      <c r="L47" s="318"/>
      <c r="M47" s="319">
        <f>SUM(F47)</f>
        <v>15037584.039999999</v>
      </c>
    </row>
    <row r="48" spans="2:14" ht="25.5" customHeight="1">
      <c r="B48" s="312"/>
      <c r="C48" s="313" t="s">
        <v>423</v>
      </c>
      <c r="D48" s="314"/>
      <c r="E48" s="314"/>
      <c r="F48" s="316"/>
      <c r="G48" s="316"/>
      <c r="H48" s="316"/>
      <c r="I48" s="316"/>
      <c r="J48" s="316"/>
      <c r="K48" s="317"/>
      <c r="L48" s="318"/>
      <c r="M48" s="319">
        <f>M47*0.1</f>
        <v>1503758.4040000001</v>
      </c>
    </row>
    <row r="49" spans="2:13" ht="24" customHeight="1">
      <c r="B49" s="312"/>
      <c r="C49" s="313" t="s">
        <v>424</v>
      </c>
      <c r="D49" s="320"/>
      <c r="E49" s="320"/>
      <c r="F49" s="321"/>
      <c r="G49" s="321"/>
      <c r="H49" s="321"/>
      <c r="I49" s="321"/>
      <c r="J49" s="321"/>
      <c r="K49" s="322"/>
      <c r="L49" s="323"/>
      <c r="M49" s="324">
        <f>M47+M48</f>
        <v>16541342.443999998</v>
      </c>
    </row>
    <row r="50" spans="2:13" ht="14.25" customHeight="1"/>
    <row r="51" spans="2:13" ht="14.25" customHeight="1"/>
    <row r="52" spans="2:13" ht="14.25" customHeight="1"/>
    <row r="53" spans="2:13" ht="14.25" customHeight="1"/>
    <row r="54" spans="2:13" ht="14.25" customHeight="1"/>
    <row r="55" spans="2:13" ht="14.25" customHeight="1"/>
    <row r="56" spans="2:13" ht="14.25" customHeight="1"/>
    <row r="57" spans="2:13" ht="14.25" customHeight="1"/>
    <row r="58" spans="2:13" ht="14.25" customHeight="1"/>
    <row r="59" spans="2:13" ht="14.25" customHeight="1"/>
    <row r="60" spans="2:13" ht="14.25" customHeight="1"/>
    <row r="61" spans="2:13" ht="14.25" customHeight="1"/>
    <row r="62" spans="2:13" ht="14.25" customHeight="1"/>
    <row r="63" spans="2:13" ht="14.25" customHeight="1"/>
    <row r="64" spans="2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G7:G997" xr:uid="{00000000-0001-0000-0300-000000000000}">
    <filterColumn colId="0">
      <filters>
        <filter val="Tester/ QA"/>
      </filters>
    </filterColumn>
  </autoFilter>
  <mergeCells count="16">
    <mergeCell ref="B3:B4"/>
    <mergeCell ref="E3:E4"/>
    <mergeCell ref="G3:G4"/>
    <mergeCell ref="H3:H4"/>
    <mergeCell ref="O4:S30"/>
    <mergeCell ref="C22:M22"/>
    <mergeCell ref="C6:M6"/>
    <mergeCell ref="J3:J4"/>
    <mergeCell ref="C1:M1"/>
    <mergeCell ref="C3:C4"/>
    <mergeCell ref="F3:F4"/>
    <mergeCell ref="M3:M4"/>
    <mergeCell ref="D3:D4"/>
    <mergeCell ref="I3:I4"/>
    <mergeCell ref="K3:K4"/>
    <mergeCell ref="L3:L4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5875-0DB9-40E8-9C80-E81743CE7903}">
  <dimension ref="A1:XER995"/>
  <sheetViews>
    <sheetView showGridLines="0" topLeftCell="A44" zoomScale="40" zoomScaleNormal="40" workbookViewId="0">
      <selection activeCell="E65" sqref="E65"/>
    </sheetView>
  </sheetViews>
  <sheetFormatPr defaultColWidth="12.625" defaultRowHeight="15" customHeight="1" outlineLevelRow="2"/>
  <cols>
    <col min="2" max="2" width="33.5" customWidth="1"/>
    <col min="3" max="3" width="38.125" customWidth="1"/>
    <col min="4" max="4" width="31" customWidth="1"/>
    <col min="5" max="6" width="35.5" customWidth="1"/>
    <col min="7" max="7" width="17.625" style="59" customWidth="1"/>
    <col min="8" max="8" width="24.25" style="217" customWidth="1"/>
    <col min="9" max="9" width="23.75" style="214" customWidth="1"/>
    <col min="10" max="22" width="9.375" customWidth="1"/>
    <col min="23" max="23" width="9" bestFit="1" customWidth="1"/>
    <col min="16384" max="16384" width="12.625" bestFit="1" customWidth="1"/>
  </cols>
  <sheetData>
    <row r="1" spans="1:22" ht="29.1" customHeight="1">
      <c r="B1" s="688"/>
      <c r="C1" s="688"/>
      <c r="D1" s="688"/>
      <c r="E1" s="688"/>
      <c r="F1" s="688"/>
      <c r="G1" s="688"/>
      <c r="H1" s="688"/>
      <c r="I1" s="688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6" customHeight="1">
      <c r="B2" s="54"/>
      <c r="C2" s="54"/>
      <c r="D2" s="54"/>
      <c r="E2" s="54"/>
      <c r="F2" s="54"/>
      <c r="G2" s="58"/>
      <c r="H2" s="529"/>
      <c r="I2" s="528"/>
    </row>
    <row r="3" spans="1:22" ht="31.5" customHeight="1">
      <c r="A3" s="50"/>
      <c r="B3" s="755" t="s">
        <v>425</v>
      </c>
      <c r="C3" s="755"/>
      <c r="D3" s="755"/>
      <c r="E3" s="755"/>
      <c r="F3" s="755"/>
      <c r="G3" s="755"/>
      <c r="H3" s="755"/>
      <c r="I3" s="755"/>
      <c r="J3" s="216"/>
      <c r="K3" s="55"/>
      <c r="L3" s="55"/>
      <c r="M3" s="55"/>
      <c r="N3" s="55"/>
      <c r="O3" s="55"/>
      <c r="P3" s="19"/>
      <c r="Q3" s="19"/>
      <c r="R3" s="19"/>
      <c r="S3" s="19"/>
      <c r="T3" s="19"/>
      <c r="U3" s="19"/>
      <c r="V3" s="19"/>
    </row>
    <row r="4" spans="1:22" ht="31.5" customHeight="1">
      <c r="A4" s="50"/>
      <c r="B4" s="437"/>
      <c r="C4" s="437"/>
      <c r="D4" s="437"/>
      <c r="E4" s="437"/>
      <c r="F4" s="437"/>
      <c r="G4" s="438"/>
      <c r="H4" s="439"/>
      <c r="I4" s="440"/>
      <c r="J4" s="50"/>
      <c r="K4" s="746"/>
      <c r="L4" s="746"/>
      <c r="M4" s="746"/>
      <c r="N4" s="746"/>
      <c r="O4" s="746"/>
    </row>
    <row r="5" spans="1:22" ht="31.5" customHeight="1">
      <c r="A5" s="50"/>
      <c r="B5" s="756" t="s">
        <v>316</v>
      </c>
      <c r="C5" s="758" t="s">
        <v>426</v>
      </c>
      <c r="D5" s="758" t="s">
        <v>317</v>
      </c>
      <c r="E5" s="760" t="s">
        <v>318</v>
      </c>
      <c r="F5" s="762" t="s">
        <v>427</v>
      </c>
      <c r="G5" s="764" t="s">
        <v>38</v>
      </c>
      <c r="H5" s="766" t="s">
        <v>324</v>
      </c>
      <c r="I5" s="768" t="s">
        <v>428</v>
      </c>
      <c r="J5" s="213"/>
      <c r="K5" s="746"/>
      <c r="L5" s="746"/>
      <c r="M5" s="746"/>
      <c r="N5" s="746"/>
      <c r="O5" s="746"/>
      <c r="P5" s="17"/>
      <c r="Q5" s="17"/>
      <c r="R5" s="17"/>
      <c r="S5" s="17"/>
      <c r="T5" s="17"/>
      <c r="U5" s="17"/>
      <c r="V5" s="17"/>
    </row>
    <row r="6" spans="1:22" ht="31.5" customHeight="1">
      <c r="A6" s="50"/>
      <c r="B6" s="757"/>
      <c r="C6" s="759"/>
      <c r="D6" s="759"/>
      <c r="E6" s="761"/>
      <c r="F6" s="763"/>
      <c r="G6" s="765"/>
      <c r="H6" s="767"/>
      <c r="I6" s="769"/>
      <c r="J6" s="213"/>
      <c r="K6" s="746"/>
      <c r="L6" s="746"/>
      <c r="M6" s="746"/>
      <c r="N6" s="746"/>
      <c r="O6" s="746"/>
      <c r="P6" s="17"/>
      <c r="Q6" s="17"/>
      <c r="R6" s="17"/>
      <c r="S6" s="17"/>
      <c r="T6" s="17"/>
      <c r="U6" s="17"/>
      <c r="V6" s="17"/>
    </row>
    <row r="7" spans="1:22" ht="31.5" customHeight="1">
      <c r="A7" s="50"/>
      <c r="B7" s="770" t="s">
        <v>43</v>
      </c>
      <c r="C7" s="771"/>
      <c r="D7" s="771"/>
      <c r="E7" s="771"/>
      <c r="F7" s="771"/>
      <c r="G7" s="771"/>
      <c r="H7" s="771"/>
      <c r="I7" s="772"/>
      <c r="J7" s="351"/>
      <c r="K7" s="746"/>
      <c r="L7" s="746"/>
      <c r="M7" s="746"/>
      <c r="N7" s="746"/>
      <c r="O7" s="746"/>
      <c r="P7" s="17"/>
      <c r="Q7" s="17"/>
      <c r="R7" s="17"/>
      <c r="S7" s="17"/>
      <c r="T7" s="17"/>
      <c r="U7" s="17"/>
      <c r="V7" s="17"/>
    </row>
    <row r="8" spans="1:22" ht="31.5" customHeight="1">
      <c r="A8" s="50"/>
      <c r="B8" s="441"/>
      <c r="C8" s="442"/>
      <c r="D8" s="442"/>
      <c r="E8" s="442"/>
      <c r="F8" s="442"/>
      <c r="G8" s="443"/>
      <c r="H8" s="444"/>
      <c r="I8" s="445">
        <f>SUM(I9:I15)</f>
        <v>171000000</v>
      </c>
      <c r="J8" s="213"/>
      <c r="K8" s="746"/>
      <c r="L8" s="746"/>
      <c r="M8" s="746"/>
      <c r="N8" s="746"/>
      <c r="O8" s="746"/>
      <c r="P8" s="17"/>
      <c r="Q8" s="17"/>
      <c r="R8" s="17"/>
      <c r="S8" s="17"/>
      <c r="T8" s="17"/>
      <c r="U8" s="17"/>
      <c r="V8" s="17"/>
    </row>
    <row r="9" spans="1:22" ht="31.5" customHeight="1">
      <c r="A9" s="50"/>
      <c r="B9" s="446" t="s">
        <v>429</v>
      </c>
      <c r="C9" s="447" t="s">
        <v>430</v>
      </c>
      <c r="D9" s="448">
        <v>45870</v>
      </c>
      <c r="E9" s="449">
        <v>45971</v>
      </c>
      <c r="F9" s="450">
        <v>160000</v>
      </c>
      <c r="G9" s="451">
        <v>24</v>
      </c>
      <c r="H9" s="452">
        <v>6000000</v>
      </c>
      <c r="I9" s="453">
        <f>H9*(G9/4)</f>
        <v>36000000</v>
      </c>
      <c r="J9" s="213"/>
      <c r="K9" s="746"/>
      <c r="L9" s="746"/>
      <c r="M9" s="746"/>
      <c r="N9" s="746"/>
      <c r="O9" s="746"/>
      <c r="P9" s="17"/>
      <c r="Q9" s="17"/>
      <c r="R9" s="17"/>
      <c r="S9" s="17"/>
      <c r="T9" s="17"/>
      <c r="U9" s="17"/>
      <c r="V9" s="17"/>
    </row>
    <row r="10" spans="1:22" ht="31.5" customHeight="1">
      <c r="A10" s="50"/>
      <c r="B10" s="454" t="s">
        <v>431</v>
      </c>
      <c r="C10" s="455" t="s">
        <v>432</v>
      </c>
      <c r="D10" s="448">
        <v>45870</v>
      </c>
      <c r="E10" s="449">
        <v>45971</v>
      </c>
      <c r="F10" s="456">
        <v>100000</v>
      </c>
      <c r="G10" s="451">
        <v>24</v>
      </c>
      <c r="H10" s="452">
        <v>5000000</v>
      </c>
      <c r="I10" s="453">
        <f>H10*(G10/4)</f>
        <v>30000000</v>
      </c>
      <c r="J10" s="213"/>
      <c r="K10" s="746"/>
      <c r="L10" s="746"/>
      <c r="M10" s="746"/>
      <c r="N10" s="746"/>
      <c r="O10" s="746"/>
      <c r="P10" s="17"/>
      <c r="Q10" s="17"/>
      <c r="R10" s="17"/>
      <c r="S10" s="17"/>
      <c r="T10" s="17"/>
      <c r="U10" s="17"/>
      <c r="V10" s="17"/>
    </row>
    <row r="11" spans="1:22" ht="31.5" customHeight="1">
      <c r="A11" s="50"/>
      <c r="B11" s="457" t="s">
        <v>293</v>
      </c>
      <c r="C11" s="455" t="s">
        <v>433</v>
      </c>
      <c r="D11" s="448">
        <v>45870</v>
      </c>
      <c r="E11" s="449">
        <v>45971</v>
      </c>
      <c r="F11" s="456">
        <v>120000</v>
      </c>
      <c r="G11" s="451">
        <v>24</v>
      </c>
      <c r="H11" s="452">
        <v>5000000</v>
      </c>
      <c r="I11" s="453">
        <f>H11*(G11/4)</f>
        <v>30000000</v>
      </c>
      <c r="J11" s="213"/>
      <c r="K11" s="746"/>
      <c r="L11" s="746"/>
      <c r="M11" s="746"/>
      <c r="N11" s="746"/>
      <c r="O11" s="746"/>
      <c r="P11" s="17"/>
      <c r="Q11" s="17"/>
      <c r="R11" s="17"/>
      <c r="S11" s="17"/>
      <c r="T11" s="17"/>
      <c r="U11" s="17"/>
      <c r="V11" s="17"/>
    </row>
    <row r="12" spans="1:22" ht="31.5" customHeight="1">
      <c r="A12" s="50"/>
      <c r="B12" s="457" t="s">
        <v>296</v>
      </c>
      <c r="C12" s="455" t="s">
        <v>434</v>
      </c>
      <c r="D12" s="448">
        <v>45870</v>
      </c>
      <c r="E12" s="449">
        <v>45971</v>
      </c>
      <c r="F12" s="456">
        <v>120000</v>
      </c>
      <c r="G12" s="451">
        <v>24</v>
      </c>
      <c r="H12" s="452">
        <v>4000000</v>
      </c>
      <c r="I12" s="453">
        <f>H12*(G12/4)</f>
        <v>24000000</v>
      </c>
      <c r="J12" s="213"/>
      <c r="K12" s="746"/>
      <c r="L12" s="746"/>
      <c r="M12" s="746"/>
      <c r="N12" s="746"/>
      <c r="O12" s="746"/>
      <c r="P12" s="17"/>
      <c r="Q12" s="17"/>
      <c r="R12" s="17"/>
      <c r="S12" s="17"/>
      <c r="T12" s="17"/>
      <c r="U12" s="17"/>
      <c r="V12" s="17"/>
    </row>
    <row r="13" spans="1:22" ht="31.5" customHeight="1">
      <c r="A13" s="50"/>
      <c r="B13" s="457" t="s">
        <v>302</v>
      </c>
      <c r="C13" s="455" t="s">
        <v>435</v>
      </c>
      <c r="D13" s="448">
        <v>45870</v>
      </c>
      <c r="E13" s="449">
        <v>45971</v>
      </c>
      <c r="F13" s="456">
        <v>80000</v>
      </c>
      <c r="G13" s="451">
        <v>24</v>
      </c>
      <c r="H13" s="452">
        <v>3500000</v>
      </c>
      <c r="I13" s="453">
        <f>H13*(G13/4)</f>
        <v>21000000</v>
      </c>
      <c r="J13" s="213"/>
      <c r="K13" s="746"/>
      <c r="L13" s="746"/>
      <c r="M13" s="746"/>
      <c r="N13" s="746"/>
      <c r="O13" s="746"/>
      <c r="P13" s="17"/>
      <c r="Q13" s="17"/>
      <c r="R13" s="17"/>
      <c r="S13" s="17"/>
      <c r="T13" s="17"/>
      <c r="U13" s="17"/>
      <c r="V13" s="17"/>
    </row>
    <row r="14" spans="1:22" ht="31.5" customHeight="1">
      <c r="A14" s="50"/>
      <c r="B14" s="457" t="s">
        <v>309</v>
      </c>
      <c r="C14" s="455" t="s">
        <v>436</v>
      </c>
      <c r="D14" s="448">
        <v>45870</v>
      </c>
      <c r="E14" s="449">
        <v>45971</v>
      </c>
      <c r="F14" s="456">
        <v>100000</v>
      </c>
      <c r="G14" s="451">
        <v>6</v>
      </c>
      <c r="H14" s="452">
        <v>4000000</v>
      </c>
      <c r="I14" s="453">
        <f>H14*(G14/4)</f>
        <v>6000000</v>
      </c>
      <c r="J14" s="213"/>
      <c r="K14" s="746"/>
      <c r="L14" s="746"/>
      <c r="M14" s="746"/>
      <c r="N14" s="746"/>
      <c r="O14" s="746"/>
      <c r="P14" s="17"/>
      <c r="Q14" s="17"/>
      <c r="R14" s="17"/>
      <c r="S14" s="17"/>
      <c r="T14" s="17"/>
      <c r="U14" s="17"/>
      <c r="V14" s="17"/>
    </row>
    <row r="15" spans="1:22" ht="31.5" customHeight="1">
      <c r="A15" s="50"/>
      <c r="B15" s="457" t="s">
        <v>437</v>
      </c>
      <c r="C15" s="455" t="s">
        <v>438</v>
      </c>
      <c r="D15" s="448">
        <v>45870</v>
      </c>
      <c r="E15" s="449">
        <v>45971</v>
      </c>
      <c r="F15" s="456">
        <v>100000</v>
      </c>
      <c r="G15" s="451">
        <v>24</v>
      </c>
      <c r="H15" s="452">
        <v>4000000</v>
      </c>
      <c r="I15" s="453">
        <f>H15*(G15/4)</f>
        <v>24000000</v>
      </c>
      <c r="J15" s="213"/>
      <c r="K15" s="746"/>
      <c r="L15" s="746"/>
      <c r="M15" s="746"/>
      <c r="N15" s="746"/>
      <c r="O15" s="746"/>
      <c r="P15" s="17"/>
      <c r="Q15" s="17"/>
      <c r="R15" s="17"/>
      <c r="S15" s="17"/>
      <c r="T15" s="17"/>
      <c r="U15" s="17"/>
      <c r="V15" s="17"/>
    </row>
    <row r="16" spans="1:22" ht="31.5" customHeight="1">
      <c r="A16" s="50"/>
      <c r="B16" s="458" t="s">
        <v>439</v>
      </c>
      <c r="C16" s="459" t="s">
        <v>440</v>
      </c>
      <c r="D16" s="448">
        <v>45870</v>
      </c>
      <c r="E16" s="449">
        <v>45971</v>
      </c>
      <c r="F16" s="456">
        <v>120000</v>
      </c>
      <c r="G16" s="451">
        <v>24</v>
      </c>
      <c r="H16" s="452">
        <v>3000000</v>
      </c>
      <c r="I16" s="453">
        <f>H16*(G16/4)</f>
        <v>18000000</v>
      </c>
      <c r="J16" s="213"/>
      <c r="K16" s="746"/>
      <c r="L16" s="746"/>
      <c r="M16" s="746"/>
      <c r="N16" s="746"/>
      <c r="O16" s="746"/>
      <c r="P16" s="17"/>
      <c r="Q16" s="17"/>
      <c r="R16" s="17"/>
      <c r="S16" s="17"/>
      <c r="T16" s="17"/>
      <c r="U16" s="17"/>
      <c r="V16" s="17"/>
    </row>
    <row r="17" spans="1:15" ht="31.5" customHeight="1">
      <c r="A17" s="50"/>
      <c r="B17" s="770" t="s">
        <v>441</v>
      </c>
      <c r="C17" s="771"/>
      <c r="D17" s="771"/>
      <c r="E17" s="771"/>
      <c r="F17" s="771"/>
      <c r="G17" s="771"/>
      <c r="H17" s="771"/>
      <c r="I17" s="772"/>
      <c r="J17" s="215"/>
      <c r="K17" s="746"/>
      <c r="L17" s="746"/>
      <c r="M17" s="746"/>
      <c r="N17" s="746"/>
      <c r="O17" s="746"/>
    </row>
    <row r="18" spans="1:15" ht="31.5" customHeight="1">
      <c r="A18" s="50"/>
      <c r="B18" s="460"/>
      <c r="C18" s="461"/>
      <c r="D18" s="442"/>
      <c r="E18" s="442"/>
      <c r="F18" s="442"/>
      <c r="G18" s="443"/>
      <c r="H18" s="444"/>
      <c r="I18" s="445">
        <f>SUM(I19,I20,I21,I22,I23,I24)</f>
        <v>21150000</v>
      </c>
      <c r="J18" s="50"/>
      <c r="K18" s="746"/>
      <c r="L18" s="746"/>
      <c r="M18" s="746"/>
      <c r="N18" s="746"/>
      <c r="O18" s="746"/>
    </row>
    <row r="19" spans="1:15" ht="31.5" customHeight="1">
      <c r="A19" s="50"/>
      <c r="B19" s="458" t="s">
        <v>442</v>
      </c>
      <c r="C19" s="459" t="s">
        <v>443</v>
      </c>
      <c r="D19" s="462">
        <v>45870</v>
      </c>
      <c r="E19" s="449">
        <v>45971</v>
      </c>
      <c r="F19" s="456" t="s">
        <v>82</v>
      </c>
      <c r="G19" s="451">
        <v>18</v>
      </c>
      <c r="H19" s="463">
        <v>800000</v>
      </c>
      <c r="I19" s="453">
        <f>H19*(G19/4)</f>
        <v>3600000</v>
      </c>
      <c r="J19" s="215"/>
      <c r="K19" s="746"/>
      <c r="L19" s="746"/>
      <c r="M19" s="746"/>
      <c r="N19" s="746"/>
      <c r="O19" s="746"/>
    </row>
    <row r="20" spans="1:15" ht="31.5" customHeight="1">
      <c r="A20" s="50"/>
      <c r="B20" s="464" t="s">
        <v>444</v>
      </c>
      <c r="C20" s="465" t="s">
        <v>445</v>
      </c>
      <c r="D20" s="462">
        <v>45870</v>
      </c>
      <c r="E20" s="449">
        <v>45971</v>
      </c>
      <c r="F20" s="456">
        <v>0</v>
      </c>
      <c r="G20" s="451">
        <v>18</v>
      </c>
      <c r="H20" s="452">
        <v>1200000</v>
      </c>
      <c r="I20" s="453">
        <f>H20*(G20/4)</f>
        <v>5400000</v>
      </c>
      <c r="J20" s="215"/>
      <c r="K20" s="746"/>
      <c r="L20" s="746"/>
      <c r="M20" s="746"/>
      <c r="N20" s="746"/>
      <c r="O20" s="746"/>
    </row>
    <row r="21" spans="1:15" ht="31.5" customHeight="1">
      <c r="A21" s="50"/>
      <c r="B21" s="466" t="s">
        <v>446</v>
      </c>
      <c r="C21" s="467" t="s">
        <v>447</v>
      </c>
      <c r="D21" s="462">
        <v>45870</v>
      </c>
      <c r="E21" s="449">
        <v>45971</v>
      </c>
      <c r="F21" s="456">
        <v>396000</v>
      </c>
      <c r="G21" s="451">
        <v>18</v>
      </c>
      <c r="H21" s="452">
        <v>2000000</v>
      </c>
      <c r="I21" s="453">
        <f>H21*(G21/4)</f>
        <v>9000000</v>
      </c>
      <c r="J21" s="215"/>
      <c r="K21" s="746"/>
      <c r="L21" s="746"/>
      <c r="M21" s="746"/>
      <c r="N21" s="746"/>
      <c r="O21" s="746"/>
    </row>
    <row r="22" spans="1:15" ht="31.5" customHeight="1">
      <c r="A22" s="50"/>
      <c r="B22" s="466" t="s">
        <v>448</v>
      </c>
      <c r="C22" s="467" t="s">
        <v>449</v>
      </c>
      <c r="D22" s="462">
        <v>45870</v>
      </c>
      <c r="E22" s="449">
        <v>45971</v>
      </c>
      <c r="F22" s="456">
        <v>48000</v>
      </c>
      <c r="G22" s="451">
        <v>18</v>
      </c>
      <c r="H22" s="452">
        <v>300000</v>
      </c>
      <c r="I22" s="453">
        <f>H22*(G22/4)</f>
        <v>1350000</v>
      </c>
      <c r="J22" s="215"/>
      <c r="K22" s="746"/>
      <c r="L22" s="746"/>
      <c r="M22" s="746"/>
      <c r="N22" s="746"/>
      <c r="O22" s="746"/>
    </row>
    <row r="23" spans="1:15" ht="31.5" customHeight="1">
      <c r="A23" s="50"/>
      <c r="B23" s="466" t="s">
        <v>450</v>
      </c>
      <c r="C23" s="467" t="s">
        <v>451</v>
      </c>
      <c r="D23" s="462">
        <v>45870</v>
      </c>
      <c r="E23" s="449">
        <v>45971</v>
      </c>
      <c r="F23" s="456">
        <v>211960</v>
      </c>
      <c r="G23" s="451">
        <v>18</v>
      </c>
      <c r="H23" s="452">
        <v>250000</v>
      </c>
      <c r="I23" s="453">
        <f>H23*(G23/4)</f>
        <v>1125000</v>
      </c>
      <c r="J23" s="50"/>
      <c r="K23" s="746"/>
      <c r="L23" s="746"/>
      <c r="M23" s="746"/>
      <c r="N23" s="746"/>
      <c r="O23" s="746"/>
    </row>
    <row r="24" spans="1:15" ht="31.5" customHeight="1">
      <c r="A24" s="50"/>
      <c r="B24" s="466" t="s">
        <v>452</v>
      </c>
      <c r="C24" s="467" t="s">
        <v>453</v>
      </c>
      <c r="D24" s="462">
        <v>45870</v>
      </c>
      <c r="E24" s="449">
        <v>45971</v>
      </c>
      <c r="F24" s="456">
        <v>76000</v>
      </c>
      <c r="G24" s="451">
        <v>18</v>
      </c>
      <c r="H24" s="452">
        <v>150000</v>
      </c>
      <c r="I24" s="453">
        <f>H24*(G24/4)</f>
        <v>675000</v>
      </c>
      <c r="J24" s="215"/>
      <c r="K24" s="746"/>
      <c r="L24" s="746"/>
      <c r="M24" s="746"/>
      <c r="N24" s="746"/>
      <c r="O24" s="746"/>
    </row>
    <row r="25" spans="1:15" ht="45.75" customHeight="1">
      <c r="A25" s="50"/>
      <c r="B25" s="773" t="s">
        <v>454</v>
      </c>
      <c r="C25" s="774"/>
      <c r="D25" s="771"/>
      <c r="E25" s="771"/>
      <c r="F25" s="771"/>
      <c r="G25" s="771"/>
      <c r="H25" s="771"/>
      <c r="I25" s="772"/>
      <c r="J25" s="215"/>
    </row>
    <row r="26" spans="1:15" ht="53.25" customHeight="1">
      <c r="A26" s="50"/>
      <c r="B26" s="460"/>
      <c r="C26" s="461"/>
      <c r="D26" s="461"/>
      <c r="E26" s="461"/>
      <c r="F26" s="461"/>
      <c r="G26" s="468"/>
      <c r="H26" s="469"/>
      <c r="I26" s="470">
        <f>SUM(I27,I28,I29)</f>
        <v>2925000</v>
      </c>
      <c r="J26" s="215"/>
    </row>
    <row r="27" spans="1:15" ht="33" customHeight="1">
      <c r="A27" s="50"/>
      <c r="B27" s="457" t="s">
        <v>455</v>
      </c>
      <c r="C27" s="471" t="s">
        <v>456</v>
      </c>
      <c r="D27" s="448">
        <v>45870</v>
      </c>
      <c r="E27" s="449">
        <v>45971</v>
      </c>
      <c r="F27" s="456"/>
      <c r="G27" s="451">
        <v>18</v>
      </c>
      <c r="H27" s="452">
        <v>300000</v>
      </c>
      <c r="I27" s="453">
        <f>H27*(G27/4)</f>
        <v>1350000</v>
      </c>
      <c r="J27" s="50"/>
    </row>
    <row r="28" spans="1:15" ht="22.5" customHeight="1">
      <c r="A28" s="50"/>
      <c r="B28" s="457" t="s">
        <v>457</v>
      </c>
      <c r="C28" s="471" t="s">
        <v>458</v>
      </c>
      <c r="D28" s="448">
        <v>45870</v>
      </c>
      <c r="E28" s="449">
        <v>45971</v>
      </c>
      <c r="F28" s="456"/>
      <c r="G28" s="451">
        <v>18</v>
      </c>
      <c r="H28" s="452">
        <v>200000</v>
      </c>
      <c r="I28" s="453">
        <f>H28*(G28/4)</f>
        <v>900000</v>
      </c>
      <c r="J28" s="50"/>
    </row>
    <row r="29" spans="1:15" ht="48" customHeight="1">
      <c r="A29" s="50"/>
      <c r="B29" s="457" t="s">
        <v>459</v>
      </c>
      <c r="C29" s="472" t="s">
        <v>460</v>
      </c>
      <c r="D29" s="448">
        <v>45870</v>
      </c>
      <c r="E29" s="449">
        <v>45971</v>
      </c>
      <c r="F29" s="456"/>
      <c r="G29" s="451">
        <v>18</v>
      </c>
      <c r="H29" s="452">
        <v>150000</v>
      </c>
      <c r="I29" s="453">
        <f>H29*(G29/4)</f>
        <v>675000</v>
      </c>
      <c r="J29" s="50"/>
    </row>
    <row r="30" spans="1:15" ht="45" customHeight="1">
      <c r="A30" s="50"/>
      <c r="B30" s="773" t="s">
        <v>461</v>
      </c>
      <c r="C30" s="774"/>
      <c r="D30" s="774"/>
      <c r="E30" s="774"/>
      <c r="F30" s="774"/>
      <c r="G30" s="774"/>
      <c r="H30" s="774"/>
      <c r="I30" s="775"/>
      <c r="J30" s="50"/>
    </row>
    <row r="31" spans="1:15" ht="36.75" customHeight="1">
      <c r="A31" s="50"/>
      <c r="B31" s="460"/>
      <c r="C31" s="442"/>
      <c r="D31" s="442"/>
      <c r="E31" s="442"/>
      <c r="F31" s="442"/>
      <c r="G31" s="443"/>
      <c r="H31" s="444"/>
      <c r="I31" s="445">
        <f>SUM(I32:I34)</f>
        <v>9000000</v>
      </c>
      <c r="J31" s="50"/>
    </row>
    <row r="32" spans="1:15" ht="56.25" customHeight="1">
      <c r="A32" s="50"/>
      <c r="B32" s="473" t="s">
        <v>462</v>
      </c>
      <c r="C32" s="474" t="s">
        <v>463</v>
      </c>
      <c r="D32" s="448">
        <v>45870</v>
      </c>
      <c r="E32" s="449">
        <v>45971</v>
      </c>
      <c r="F32" s="456"/>
      <c r="G32" s="451">
        <v>18</v>
      </c>
      <c r="H32" s="463">
        <v>500000</v>
      </c>
      <c r="I32" s="453">
        <f>H32*(G32/4)</f>
        <v>2250000</v>
      </c>
      <c r="J32" s="50"/>
    </row>
    <row r="33" spans="1:10 16372:16372" ht="32.25" customHeight="1">
      <c r="A33" s="50"/>
      <c r="B33" s="475" t="s">
        <v>464</v>
      </c>
      <c r="C33" s="476" t="s">
        <v>465</v>
      </c>
      <c r="D33" s="448">
        <v>45870</v>
      </c>
      <c r="E33" s="449">
        <v>45971</v>
      </c>
      <c r="F33" s="456"/>
      <c r="G33" s="451">
        <v>18</v>
      </c>
      <c r="H33" s="463">
        <v>500000</v>
      </c>
      <c r="I33" s="453">
        <f>H33*(G33/4)</f>
        <v>2250000</v>
      </c>
      <c r="J33" s="50"/>
    </row>
    <row r="34" spans="1:10 16372:16372" ht="42.75" customHeight="1">
      <c r="A34" s="50"/>
      <c r="B34" s="477" t="s">
        <v>466</v>
      </c>
      <c r="C34" s="478" t="s">
        <v>467</v>
      </c>
      <c r="D34" s="479">
        <v>45870</v>
      </c>
      <c r="E34" s="449">
        <v>45971</v>
      </c>
      <c r="F34" s="480"/>
      <c r="G34" s="481">
        <v>18</v>
      </c>
      <c r="H34" s="482">
        <v>1000000</v>
      </c>
      <c r="I34" s="483">
        <f>H34*(G34/4)</f>
        <v>4500000</v>
      </c>
      <c r="J34" s="50"/>
    </row>
    <row r="35" spans="1:10 16372:16372" ht="45" customHeight="1">
      <c r="A35" s="50"/>
      <c r="B35" s="484" t="s">
        <v>63</v>
      </c>
      <c r="C35" s="485"/>
      <c r="D35" s="486"/>
      <c r="E35" s="486"/>
      <c r="F35" s="486"/>
      <c r="G35" s="487"/>
      <c r="H35" s="488"/>
      <c r="I35" s="489">
        <f>SUM(I8+I18+I26+I31)</f>
        <v>204075000</v>
      </c>
      <c r="J35" s="50"/>
    </row>
    <row r="36" spans="1:10 16372:16372" ht="34.5" customHeight="1">
      <c r="B36" s="490" t="s">
        <v>423</v>
      </c>
      <c r="C36" s="491"/>
      <c r="D36" s="492"/>
      <c r="E36" s="492"/>
      <c r="F36" s="492"/>
      <c r="G36" s="493"/>
      <c r="H36" s="494"/>
      <c r="I36" s="495">
        <f>I35*0.1</f>
        <v>20407500</v>
      </c>
    </row>
    <row r="37" spans="1:10 16372:16372" ht="40.5" customHeight="1" outlineLevel="1">
      <c r="B37" s="490" t="s">
        <v>468</v>
      </c>
      <c r="C37" s="491"/>
      <c r="D37" s="492"/>
      <c r="E37" s="492"/>
      <c r="F37" s="492"/>
      <c r="G37" s="493"/>
      <c r="H37" s="494"/>
      <c r="I37" s="495">
        <f>SUM(I41)</f>
        <v>44000000</v>
      </c>
    </row>
    <row r="38" spans="1:10 16372:16372" ht="35.25" customHeight="1" outlineLevel="2">
      <c r="B38" s="484" t="s">
        <v>469</v>
      </c>
      <c r="C38" s="485"/>
      <c r="D38" s="486"/>
      <c r="E38" s="486"/>
      <c r="F38" s="486"/>
      <c r="G38" s="487"/>
      <c r="H38" s="496"/>
      <c r="I38" s="497">
        <f>SUM(I35,I37)</f>
        <v>248075000</v>
      </c>
    </row>
    <row r="39" spans="1:10 16372:16372" ht="43.5" customHeight="1" outlineLevel="2">
      <c r="G39"/>
      <c r="H39"/>
      <c r="I39"/>
    </row>
    <row r="40" spans="1:10 16372:16372" ht="23.25" customHeight="1" outlineLevel="2">
      <c r="B40" s="752" t="s">
        <v>470</v>
      </c>
      <c r="C40" s="753"/>
      <c r="D40" s="753"/>
      <c r="E40" s="753"/>
      <c r="F40" s="753"/>
      <c r="G40" s="753"/>
      <c r="H40" s="753"/>
      <c r="I40" s="754"/>
    </row>
    <row r="41" spans="1:10 16372:16372" ht="13.5" customHeight="1">
      <c r="B41" s="498"/>
      <c r="C41" s="499"/>
      <c r="D41" s="499"/>
      <c r="E41" s="499"/>
      <c r="F41" s="499"/>
      <c r="G41" s="500"/>
      <c r="H41" s="501"/>
      <c r="I41" s="502">
        <v>44000000</v>
      </c>
    </row>
    <row r="42" spans="1:10 16372:16372" ht="105.75" customHeight="1">
      <c r="B42" s="503" t="s">
        <v>471</v>
      </c>
      <c r="C42" s="504" t="s">
        <v>472</v>
      </c>
      <c r="D42" s="505">
        <v>45870</v>
      </c>
      <c r="E42" s="506">
        <v>45997</v>
      </c>
      <c r="F42" s="507"/>
      <c r="G42" s="508">
        <v>4</v>
      </c>
      <c r="H42" s="509">
        <v>22000000</v>
      </c>
      <c r="I42" s="510">
        <v>22000000</v>
      </c>
    </row>
    <row r="43" spans="1:10 16372:16372" ht="115.5" customHeight="1">
      <c r="B43" s="511" t="s">
        <v>473</v>
      </c>
      <c r="C43" s="512" t="s">
        <v>474</v>
      </c>
      <c r="D43" s="505">
        <v>45870</v>
      </c>
      <c r="E43" s="506">
        <v>45997</v>
      </c>
      <c r="F43" s="513"/>
      <c r="G43" s="508">
        <v>4</v>
      </c>
      <c r="H43" s="509">
        <v>6000000</v>
      </c>
      <c r="I43" s="510">
        <v>6000000</v>
      </c>
      <c r="XER43" s="60" t="s">
        <v>82</v>
      </c>
    </row>
    <row r="44" spans="1:10 16372:16372" ht="91.5" customHeight="1">
      <c r="B44" s="514" t="s">
        <v>475</v>
      </c>
      <c r="C44" s="515" t="s">
        <v>476</v>
      </c>
      <c r="D44" s="505">
        <v>45870</v>
      </c>
      <c r="E44" s="506">
        <v>45997</v>
      </c>
      <c r="F44" s="513"/>
      <c r="G44" s="508">
        <v>4</v>
      </c>
      <c r="H44" s="509">
        <v>5500000</v>
      </c>
      <c r="I44" s="510">
        <v>5500000</v>
      </c>
    </row>
    <row r="45" spans="1:10 16372:16372" ht="98.25" customHeight="1">
      <c r="B45" s="516" t="s">
        <v>477</v>
      </c>
      <c r="C45" s="517" t="s">
        <v>478</v>
      </c>
      <c r="D45" s="518">
        <v>45870</v>
      </c>
      <c r="E45" s="519">
        <v>45997</v>
      </c>
      <c r="F45" s="520"/>
      <c r="G45" s="521">
        <v>4</v>
      </c>
      <c r="H45" s="522">
        <v>3500000</v>
      </c>
      <c r="I45" s="523">
        <v>3500000</v>
      </c>
    </row>
    <row r="46" spans="1:10 16372:16372" ht="25.5" customHeight="1">
      <c r="B46" s="524" t="s">
        <v>479</v>
      </c>
      <c r="C46" s="525"/>
      <c r="D46" s="525"/>
      <c r="E46" s="525"/>
      <c r="F46" s="525"/>
      <c r="G46" s="525"/>
      <c r="H46" s="526"/>
      <c r="I46" s="527">
        <v>44000000</v>
      </c>
    </row>
    <row r="47" spans="1:10 16372:16372" ht="24" customHeight="1">
      <c r="G47"/>
      <c r="H47"/>
      <c r="I47"/>
    </row>
    <row r="48" spans="1:10 16372:16372" ht="14.25" customHeight="1">
      <c r="G48"/>
      <c r="H48"/>
      <c r="I48"/>
    </row>
    <row r="49" spans="7:9" ht="14.25" customHeight="1">
      <c r="G49"/>
      <c r="H49"/>
      <c r="I49"/>
    </row>
    <row r="50" spans="7:9" ht="14.25" customHeight="1">
      <c r="G50"/>
      <c r="H50"/>
      <c r="I50"/>
    </row>
    <row r="51" spans="7:9" ht="14.25" customHeight="1"/>
    <row r="52" spans="7:9" ht="14.25" customHeight="1"/>
    <row r="53" spans="7:9" ht="14.25" customHeight="1"/>
    <row r="54" spans="7:9" ht="14.25" customHeight="1"/>
    <row r="55" spans="7:9" ht="14.25" customHeight="1"/>
    <row r="56" spans="7:9" ht="14.25" customHeight="1"/>
    <row r="57" spans="7:9" ht="14.25" customHeight="1"/>
    <row r="58" spans="7:9" ht="14.25" customHeight="1"/>
    <row r="59" spans="7:9" ht="14.25" customHeight="1"/>
    <row r="60" spans="7:9" ht="14.25" customHeight="1"/>
    <row r="61" spans="7:9" ht="14.25" customHeight="1"/>
    <row r="62" spans="7:9" ht="14.25" customHeight="1"/>
    <row r="63" spans="7:9" ht="14.25" customHeight="1"/>
    <row r="64" spans="7: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6">
    <mergeCell ref="K4:O24"/>
    <mergeCell ref="B1:I1"/>
    <mergeCell ref="B40:I40"/>
    <mergeCell ref="B3:I3"/>
    <mergeCell ref="B5:B6"/>
    <mergeCell ref="C5:C6"/>
    <mergeCell ref="D5:D6"/>
    <mergeCell ref="E5:E6"/>
    <mergeCell ref="F5:F6"/>
    <mergeCell ref="G5:G6"/>
    <mergeCell ref="H5:H6"/>
    <mergeCell ref="I5:I6"/>
    <mergeCell ref="B7:I7"/>
    <mergeCell ref="B17:I17"/>
    <mergeCell ref="B25:I25"/>
    <mergeCell ref="B30:I30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DF03-C54C-4FD0-8E9D-5A485B21AD03}">
  <dimension ref="B2:Q63"/>
  <sheetViews>
    <sheetView workbookViewId="0">
      <selection activeCell="F15" sqref="F15"/>
    </sheetView>
  </sheetViews>
  <sheetFormatPr defaultColWidth="9" defaultRowHeight="14.25"/>
  <cols>
    <col min="3" max="3" width="103.125" customWidth="1"/>
    <col min="4" max="4" width="24" customWidth="1"/>
    <col min="5" max="5" width="20.625" customWidth="1"/>
    <col min="6" max="6" width="20.875" customWidth="1"/>
    <col min="7" max="7" width="23.5" customWidth="1"/>
    <col min="9" max="9" width="21.875" customWidth="1"/>
    <col min="11" max="11" width="10" bestFit="1" customWidth="1"/>
  </cols>
  <sheetData>
    <row r="2" spans="2:17" ht="15">
      <c r="B2" t="s">
        <v>480</v>
      </c>
      <c r="C2" t="s">
        <v>36</v>
      </c>
      <c r="D2" t="s">
        <v>37</v>
      </c>
      <c r="E2" t="s">
        <v>481</v>
      </c>
      <c r="F2" t="s">
        <v>482</v>
      </c>
      <c r="G2" t="s">
        <v>483</v>
      </c>
      <c r="I2" s="124" t="s">
        <v>484</v>
      </c>
      <c r="J2" s="125">
        <v>1</v>
      </c>
      <c r="K2" s="125">
        <v>2</v>
      </c>
      <c r="L2" s="125">
        <v>3</v>
      </c>
      <c r="M2" s="125">
        <v>4</v>
      </c>
      <c r="N2" s="125">
        <v>5</v>
      </c>
      <c r="O2" s="125">
        <v>6</v>
      </c>
      <c r="P2" s="125">
        <v>7</v>
      </c>
      <c r="Q2" s="125">
        <v>8</v>
      </c>
    </row>
    <row r="3" spans="2:17" ht="15">
      <c r="B3" s="69"/>
      <c r="C3" s="69" t="s">
        <v>327</v>
      </c>
      <c r="D3" s="69"/>
      <c r="E3" s="69"/>
      <c r="F3" s="114">
        <f>F4</f>
        <v>20000000</v>
      </c>
      <c r="G3" s="114" t="e">
        <f>G4</f>
        <v>#REF!</v>
      </c>
      <c r="I3" s="124" t="s">
        <v>485</v>
      </c>
      <c r="J3" s="126">
        <f>Tabla1[[#This Row],[Total Planificado]]</f>
        <v>20000000</v>
      </c>
      <c r="K3" s="126">
        <v>20000000</v>
      </c>
      <c r="L3" s="126">
        <v>20000000</v>
      </c>
      <c r="M3" s="126">
        <v>20000000</v>
      </c>
      <c r="N3" s="126">
        <v>20000000</v>
      </c>
      <c r="O3" s="126">
        <v>20000000</v>
      </c>
      <c r="P3" s="126">
        <v>20000000</v>
      </c>
      <c r="Q3" s="126">
        <v>20000000</v>
      </c>
    </row>
    <row r="4" spans="2:17" ht="15">
      <c r="B4" s="71"/>
      <c r="C4" s="71"/>
      <c r="D4" s="71">
        <v>5</v>
      </c>
      <c r="E4" s="62" t="e">
        <f>(Tabla1[[#This Row],[Total Planificado]]+Tabla1[[#This Row],[Total Real]])/2</f>
        <v>#REF!</v>
      </c>
      <c r="F4" s="72">
        <f>SUM(F5:F6)</f>
        <v>20000000</v>
      </c>
      <c r="G4" s="72" t="e">
        <f>SUM(G5:G6)</f>
        <v>#REF!</v>
      </c>
      <c r="I4" s="124" t="s">
        <v>486</v>
      </c>
      <c r="J4" s="126" t="e">
        <f>G3</f>
        <v>#REF!</v>
      </c>
      <c r="K4" s="126">
        <v>20000000</v>
      </c>
      <c r="L4" s="126">
        <v>20000000</v>
      </c>
      <c r="M4" s="126">
        <v>20000000</v>
      </c>
      <c r="N4" s="126">
        <v>20000000</v>
      </c>
      <c r="O4" s="126">
        <v>20000000</v>
      </c>
      <c r="P4" s="126">
        <v>20000000</v>
      </c>
      <c r="Q4" s="126">
        <v>20000000</v>
      </c>
    </row>
    <row r="5" spans="2:17">
      <c r="B5" s="62" t="s">
        <v>333</v>
      </c>
      <c r="C5" s="62" t="s">
        <v>328</v>
      </c>
      <c r="D5" s="62">
        <v>2</v>
      </c>
      <c r="E5" s="62" t="e">
        <f>(Tabla1[[#This Row],[Total Planificado]]+Tabla1[[#This Row],[Total Real]])/2</f>
        <v>#REF!</v>
      </c>
      <c r="F5" s="116">
        <f>'[1]Planeación y Costo ✓'!M8</f>
        <v>10000000</v>
      </c>
      <c r="G5" s="62" t="e">
        <f>#REF!</f>
        <v>#REF!</v>
      </c>
    </row>
    <row r="6" spans="2:17">
      <c r="B6" s="62" t="s">
        <v>338</v>
      </c>
      <c r="C6" s="62" t="s">
        <v>342</v>
      </c>
      <c r="D6" s="62">
        <v>3</v>
      </c>
      <c r="E6" s="62" t="e">
        <f>(Tabla1[[#This Row],[Total Planificado]]+Tabla1[[#This Row],[Total Real]])/2</f>
        <v>#REF!</v>
      </c>
      <c r="F6" s="116">
        <f>'[1]Planeación y Costo ✓'!M12</f>
        <v>10000000</v>
      </c>
      <c r="G6" s="62" t="e">
        <f>#REF!</f>
        <v>#REF!</v>
      </c>
    </row>
    <row r="7" spans="2:17" ht="15">
      <c r="B7" s="68"/>
      <c r="C7" s="69" t="s">
        <v>182</v>
      </c>
      <c r="D7" s="69"/>
      <c r="E7" s="233" t="e">
        <f>(Tabla1[[#This Row],[Total Planificado]]+Tabla1[[#This Row],[Total Real]])/2</f>
        <v>#REF!</v>
      </c>
      <c r="F7" s="114">
        <f>SUM(F8,F17)</f>
        <v>213000000</v>
      </c>
      <c r="G7" s="114" t="e">
        <f>SUM(G8,G17)</f>
        <v>#REF!</v>
      </c>
    </row>
    <row r="8" spans="2:17" ht="15">
      <c r="B8" s="71"/>
      <c r="C8" s="71" t="s">
        <v>183</v>
      </c>
      <c r="D8" s="71">
        <v>70</v>
      </c>
      <c r="E8" s="71" t="e">
        <f>(Tabla1[[#This Row],[Total Planificado]]+Tabla1[[#This Row],[Total Real]])/2</f>
        <v>#REF!</v>
      </c>
      <c r="F8" s="72">
        <f>SUM(F9,F13)</f>
        <v>60000000</v>
      </c>
      <c r="G8" s="72" t="e">
        <f>SUM(G9,G13)</f>
        <v>#REF!</v>
      </c>
    </row>
    <row r="9" spans="2:17">
      <c r="B9" s="70"/>
      <c r="C9" s="70" t="s">
        <v>487</v>
      </c>
      <c r="D9" s="70">
        <v>28</v>
      </c>
      <c r="E9" s="70" t="e">
        <f>(Tabla1[[#This Row],[Total Planificado]]+Tabla1[[#This Row],[Total Real]])/2</f>
        <v>#REF!</v>
      </c>
      <c r="F9" s="117">
        <f>SUM(F10:F12)</f>
        <v>28000000</v>
      </c>
      <c r="G9" s="117" t="e">
        <f>SUM(G10:G12)</f>
        <v>#REF!</v>
      </c>
    </row>
    <row r="10" spans="2:17">
      <c r="B10" s="62" t="s">
        <v>340</v>
      </c>
      <c r="C10" s="62" t="s">
        <v>488</v>
      </c>
      <c r="D10" s="62"/>
      <c r="E10" s="62" t="e">
        <f>(Tabla1[[#This Row],[Total Planificado]]+Tabla1[[#This Row],[Total Real]])/2</f>
        <v>#REF!</v>
      </c>
      <c r="F10" s="116">
        <f>'[1]Planeación y Costo ✓'!M26</f>
        <v>10000000</v>
      </c>
      <c r="G10" s="62" t="e">
        <f>#REF!</f>
        <v>#REF!</v>
      </c>
    </row>
    <row r="11" spans="2:17">
      <c r="B11" s="62" t="s">
        <v>343</v>
      </c>
      <c r="C11" s="62" t="s">
        <v>489</v>
      </c>
      <c r="D11" s="62"/>
      <c r="E11" s="62" t="e">
        <f>(Tabla1[[#This Row],[Total Planificado]]+Tabla1[[#This Row],[Total Real]])/2</f>
        <v>#REF!</v>
      </c>
      <c r="F11" s="116">
        <f>'[1]Planeación y Costo ✓'!M27</f>
        <v>8000000</v>
      </c>
      <c r="G11" s="62" t="e">
        <f>#REF!</f>
        <v>#REF!</v>
      </c>
    </row>
    <row r="12" spans="2:17">
      <c r="B12" s="62" t="s">
        <v>347</v>
      </c>
      <c r="C12" s="62" t="s">
        <v>490</v>
      </c>
      <c r="D12" s="62"/>
      <c r="E12" s="62" t="e">
        <f>(Tabla1[[#This Row],[Total Planificado]]+Tabla1[[#This Row],[Total Real]])/2</f>
        <v>#REF!</v>
      </c>
      <c r="F12" s="116">
        <f>'[1]Planeación y Costo ✓'!M28</f>
        <v>10000000</v>
      </c>
      <c r="G12" s="62" t="e">
        <f>#REF!</f>
        <v>#REF!</v>
      </c>
    </row>
    <row r="13" spans="2:17">
      <c r="B13" s="70"/>
      <c r="C13" s="70" t="s">
        <v>184</v>
      </c>
      <c r="D13" s="70">
        <v>42</v>
      </c>
      <c r="E13" s="70">
        <f>(Tabla1[[#This Row],[Total Planificado]]+Tabla1[[#This Row],[Total Real]])/2</f>
        <v>32000000</v>
      </c>
      <c r="F13" s="117">
        <f>SUM(F14:F16)</f>
        <v>32000000</v>
      </c>
      <c r="G13" s="117">
        <f>SUM(G14:G16)</f>
        <v>32000000</v>
      </c>
    </row>
    <row r="14" spans="2:17">
      <c r="B14" s="62" t="s">
        <v>350</v>
      </c>
      <c r="C14" s="62" t="s">
        <v>491</v>
      </c>
      <c r="D14" s="62"/>
      <c r="E14" s="62">
        <f>(Tabla1[[#This Row],[Total Planificado]]+Tabla1[[#This Row],[Total Real]])/2</f>
        <v>15000000</v>
      </c>
      <c r="F14" s="116">
        <f>'[1]Planeación y Costo ✓'!M30</f>
        <v>15000000</v>
      </c>
      <c r="G14" s="62">
        <f>'[1]Planeación y Costo ✓'!M30</f>
        <v>15000000</v>
      </c>
    </row>
    <row r="15" spans="2:17">
      <c r="B15" s="62" t="s">
        <v>353</v>
      </c>
      <c r="C15" s="62" t="s">
        <v>492</v>
      </c>
      <c r="D15" s="62"/>
      <c r="E15" s="62">
        <f>(Tabla1[[#This Row],[Total Planificado]]+Tabla1[[#This Row],[Total Real]])/2</f>
        <v>15000000</v>
      </c>
      <c r="F15" s="116">
        <f>'[1]Planeación y Costo ✓'!M31</f>
        <v>15000000</v>
      </c>
      <c r="G15" s="62">
        <f>'[1]Planeación y Costo ✓'!M31</f>
        <v>15000000</v>
      </c>
    </row>
    <row r="16" spans="2:17">
      <c r="B16" s="62" t="s">
        <v>356</v>
      </c>
      <c r="C16" s="62" t="s">
        <v>493</v>
      </c>
      <c r="D16" s="62"/>
      <c r="E16" s="62">
        <f>(Tabla1[[#This Row],[Total Planificado]]+Tabla1[[#This Row],[Total Real]])/2</f>
        <v>2000000</v>
      </c>
      <c r="F16" s="116">
        <f>'[1]Planeación y Costo ✓'!M32</f>
        <v>2000000</v>
      </c>
      <c r="G16" s="62">
        <f>'[1]Planeación y Costo ✓'!M32</f>
        <v>2000000</v>
      </c>
    </row>
    <row r="17" spans="2:12" ht="15">
      <c r="C17" t="s">
        <v>185</v>
      </c>
      <c r="D17">
        <v>92</v>
      </c>
      <c r="E17" t="e">
        <f>(Tabla1[[#This Row],[Total Planificado]]+Tabla1[[#This Row],[Total Real]])/2</f>
        <v>#REF!</v>
      </c>
      <c r="F17" s="115">
        <f>SUM(F18,F22,F26)</f>
        <v>153000000</v>
      </c>
      <c r="G17" s="115" t="e">
        <f>SUM(G18,G22,G26)</f>
        <v>#REF!</v>
      </c>
    </row>
    <row r="18" spans="2:12">
      <c r="B18" s="70"/>
      <c r="C18" s="70" t="s">
        <v>389</v>
      </c>
      <c r="D18" s="70">
        <v>63</v>
      </c>
      <c r="E18" s="70" t="e">
        <f>(Tabla1[[#This Row],[Total Planificado]]+Tabla1[[#This Row],[Total Real]])/2</f>
        <v>#REF!</v>
      </c>
      <c r="F18" s="117">
        <f>SUM(F19:F21)</f>
        <v>59000000</v>
      </c>
      <c r="G18" s="117" t="e">
        <f>SUM(G19:G21)</f>
        <v>#REF!</v>
      </c>
    </row>
    <row r="19" spans="2:12">
      <c r="B19" s="62" t="s">
        <v>359</v>
      </c>
      <c r="C19" s="62" t="s">
        <v>494</v>
      </c>
      <c r="D19" s="62"/>
      <c r="E19" s="62" t="e">
        <f>(Tabla1[[#This Row],[Total Planificado]]+Tabla1[[#This Row],[Total Real]])/2</f>
        <v>#REF!</v>
      </c>
      <c r="F19" s="116">
        <f>'[1]Planeación y Costo ✓'!M35</f>
        <v>15000000</v>
      </c>
      <c r="G19" s="62" t="e">
        <f>#REF!</f>
        <v>#REF!</v>
      </c>
    </row>
    <row r="20" spans="2:12">
      <c r="B20" s="62" t="s">
        <v>362</v>
      </c>
      <c r="C20" s="62" t="s">
        <v>495</v>
      </c>
      <c r="D20" s="62"/>
      <c r="E20" s="62" t="e">
        <f>(Tabla1[[#This Row],[Total Planificado]]+Tabla1[[#This Row],[Total Real]])/2</f>
        <v>#REF!</v>
      </c>
      <c r="F20" s="116">
        <f>'[1]Planeación y Costo ✓'!M36</f>
        <v>20000000</v>
      </c>
      <c r="G20" s="62" t="e">
        <f>#REF!</f>
        <v>#REF!</v>
      </c>
    </row>
    <row r="21" spans="2:12">
      <c r="B21" s="62" t="s">
        <v>365</v>
      </c>
      <c r="C21" s="62" t="s">
        <v>496</v>
      </c>
      <c r="D21" s="62"/>
      <c r="E21" s="62" t="e">
        <f>(Tabla1[[#This Row],[Total Planificado]]+Tabla1[[#This Row],[Total Real]])/2</f>
        <v>#REF!</v>
      </c>
      <c r="F21" s="116">
        <f>'[1]Planeación y Costo ✓'!M37</f>
        <v>24000000</v>
      </c>
      <c r="G21" s="62" t="e">
        <f>#REF!</f>
        <v>#REF!</v>
      </c>
    </row>
    <row r="22" spans="2:12">
      <c r="B22" s="70"/>
      <c r="C22" s="70" t="s">
        <v>399</v>
      </c>
      <c r="D22" s="70">
        <v>29</v>
      </c>
      <c r="E22" s="70" t="e">
        <f>(Tabla1[[#This Row],[Total Planificado]]+Tabla1[[#This Row],[Total Real]])/2</f>
        <v>#REF!</v>
      </c>
      <c r="F22" s="117">
        <f>SUM(F23:F25)</f>
        <v>47000000</v>
      </c>
      <c r="G22" s="117" t="e">
        <f>SUM(G23:G25)</f>
        <v>#REF!</v>
      </c>
    </row>
    <row r="23" spans="2:12">
      <c r="B23" s="62" t="s">
        <v>400</v>
      </c>
      <c r="C23" s="62" t="s">
        <v>497</v>
      </c>
      <c r="D23" s="62"/>
      <c r="E23" s="62" t="e">
        <f>(Tabla1[[#This Row],[Total Planificado]]+Tabla1[[#This Row],[Total Real]])/2</f>
        <v>#REF!</v>
      </c>
      <c r="F23" s="116">
        <f>'[1]Planeación y Costo ✓'!M39</f>
        <v>15000000</v>
      </c>
      <c r="G23" s="62" t="e">
        <f>#REF!</f>
        <v>#REF!</v>
      </c>
    </row>
    <row r="24" spans="2:12">
      <c r="B24" s="62" t="s">
        <v>404</v>
      </c>
      <c r="C24" s="62" t="s">
        <v>498</v>
      </c>
      <c r="D24" s="62"/>
      <c r="E24" s="62" t="e">
        <f>(Tabla1[[#This Row],[Total Planificado]]+Tabla1[[#This Row],[Total Real]])/2</f>
        <v>#REF!</v>
      </c>
      <c r="F24" s="116">
        <f>'[1]Planeación y Costo ✓'!M40</f>
        <v>12000000</v>
      </c>
      <c r="G24" s="62" t="e">
        <f>#REF!</f>
        <v>#REF!</v>
      </c>
    </row>
    <row r="25" spans="2:12">
      <c r="B25" s="62" t="s">
        <v>408</v>
      </c>
      <c r="C25" s="62" t="s">
        <v>499</v>
      </c>
      <c r="D25" s="62"/>
      <c r="E25" s="62" t="e">
        <f>(Tabla1[[#This Row],[Total Planificado]]+Tabla1[[#This Row],[Total Real]])/2</f>
        <v>#REF!</v>
      </c>
      <c r="F25" s="116">
        <f>'[1]Planeación y Costo ✓'!M41</f>
        <v>20000000</v>
      </c>
      <c r="G25" s="62" t="e">
        <f>#REF!</f>
        <v>#REF!</v>
      </c>
    </row>
    <row r="26" spans="2:12" ht="15">
      <c r="B26" s="70"/>
      <c r="C26" s="70" t="s">
        <v>411</v>
      </c>
      <c r="D26" s="70">
        <v>34</v>
      </c>
      <c r="E26" s="70" t="e">
        <f>(Tabla1[[#This Row],[Total Planificado]]+Tabla1[[#This Row],[Total Real]])/2</f>
        <v>#REF!</v>
      </c>
      <c r="F26" s="118">
        <f>SUM(F27:F29)</f>
        <v>47000000</v>
      </c>
      <c r="G26" s="118" t="e">
        <f>SUM(G27:G29)</f>
        <v>#REF!</v>
      </c>
    </row>
    <row r="27" spans="2:12">
      <c r="B27" s="62" t="s">
        <v>412</v>
      </c>
      <c r="C27" s="62" t="s">
        <v>500</v>
      </c>
      <c r="D27" s="62"/>
      <c r="E27" s="62" t="e">
        <f>(Tabla1[[#This Row],[Total Planificado]]+Tabla1[[#This Row],[Total Real]])/2</f>
        <v>#REF!</v>
      </c>
      <c r="F27" s="116">
        <f>'[1]Planeación y Costo ✓'!M43</f>
        <v>15000000</v>
      </c>
      <c r="G27" s="62" t="e">
        <f>#REF!</f>
        <v>#REF!</v>
      </c>
    </row>
    <row r="28" spans="2:12">
      <c r="B28" s="62" t="s">
        <v>416</v>
      </c>
      <c r="C28" s="62" t="s">
        <v>501</v>
      </c>
      <c r="D28" s="62"/>
      <c r="E28" s="62" t="e">
        <f>(Tabla1[[#This Row],[Total Planificado]]+Tabla1[[#This Row],[Total Real]])/2</f>
        <v>#REF!</v>
      </c>
      <c r="F28" s="116">
        <f>'[1]Planeación y Costo ✓'!M44</f>
        <v>20000000</v>
      </c>
      <c r="G28" s="62" t="e">
        <f>#REF!</f>
        <v>#REF!</v>
      </c>
      <c r="L28" t="s">
        <v>502</v>
      </c>
    </row>
    <row r="29" spans="2:12">
      <c r="B29" s="62" t="s">
        <v>419</v>
      </c>
      <c r="C29" s="62" t="s">
        <v>503</v>
      </c>
      <c r="D29" s="62"/>
      <c r="E29" s="62" t="e">
        <f>(Tabla1[[#This Row],[Total Planificado]]+Tabla1[[#This Row],[Total Real]])/2</f>
        <v>#REF!</v>
      </c>
      <c r="F29" s="116">
        <f>'[1]Planeación y Costo ✓'!M45</f>
        <v>12000000</v>
      </c>
      <c r="G29" s="62" t="e">
        <f>#REF!</f>
        <v>#REF!</v>
      </c>
    </row>
    <row r="30" spans="2:12" ht="15">
      <c r="B30" s="69"/>
      <c r="C30" s="69" t="s">
        <v>504</v>
      </c>
      <c r="D30" s="69"/>
      <c r="E30" s="69"/>
      <c r="F30" s="231">
        <f>SUM(F32:F33)</f>
        <v>35000000</v>
      </c>
      <c r="G30" s="231">
        <f>SUM(G32:G33)</f>
        <v>35000000</v>
      </c>
    </row>
    <row r="31" spans="2:12" ht="15">
      <c r="B31" s="70"/>
      <c r="C31" s="70"/>
      <c r="D31" s="70">
        <v>30</v>
      </c>
      <c r="E31" s="70"/>
      <c r="F31" s="120" t="str">
        <f>F34</f>
        <v>-</v>
      </c>
      <c r="G31" s="120" t="e">
        <f>G34</f>
        <v>#REF!</v>
      </c>
    </row>
    <row r="32" spans="2:12">
      <c r="B32" s="62" t="s">
        <v>505</v>
      </c>
      <c r="C32" s="62" t="s">
        <v>506</v>
      </c>
      <c r="D32" s="232"/>
      <c r="E32" s="62">
        <f>(Tabla1[[#This Row],[Total Planificado]]+Tabla1[[#This Row],[Total Real]])/2</f>
        <v>15000000</v>
      </c>
      <c r="F32" s="232">
        <v>15000000</v>
      </c>
      <c r="G32" s="232">
        <v>15000000</v>
      </c>
    </row>
    <row r="33" spans="2:7">
      <c r="B33" s="62" t="s">
        <v>507</v>
      </c>
      <c r="C33" s="62" t="s">
        <v>508</v>
      </c>
      <c r="D33" s="232"/>
      <c r="E33" s="62">
        <f>(Tabla1[[#This Row],[Total Planificado]]+Tabla1[[#This Row],[Total Real]])/2</f>
        <v>20000000</v>
      </c>
      <c r="F33" s="232">
        <v>20000000</v>
      </c>
      <c r="G33" s="232">
        <v>20000000</v>
      </c>
    </row>
    <row r="34" spans="2:7">
      <c r="B34" s="62" t="s">
        <v>509</v>
      </c>
      <c r="C34" s="62" t="s">
        <v>510</v>
      </c>
      <c r="D34" s="62"/>
      <c r="E34" s="62"/>
      <c r="F34" s="122" t="str">
        <f>'[1]Planeación y Costo ✓'!M49</f>
        <v>-</v>
      </c>
      <c r="G34" s="123" t="e">
        <f>#REF!</f>
        <v>#REF!</v>
      </c>
    </row>
    <row r="35" spans="2:7">
      <c r="B35" s="67"/>
      <c r="C35" s="67"/>
      <c r="D35" s="67"/>
      <c r="E35" s="67"/>
      <c r="F35" s="121"/>
      <c r="G35" s="67"/>
    </row>
    <row r="36" spans="2:7">
      <c r="C36" t="s">
        <v>63</v>
      </c>
      <c r="D36">
        <v>207</v>
      </c>
      <c r="E36" s="62" t="e">
        <f>(Tabla1[[#This Row],[Total Planificado]]+Tabla1[[#This Row],[Total Real]])/2</f>
        <v>#REF!</v>
      </c>
      <c r="F36" s="234">
        <f>SUM(F3,F7,F30)</f>
        <v>268000000</v>
      </c>
      <c r="G36" s="234" t="e">
        <f>SUM(G3,G7,G30)</f>
        <v>#REF!</v>
      </c>
    </row>
    <row r="37" spans="2:7">
      <c r="C37" t="s">
        <v>423</v>
      </c>
      <c r="F37" s="119">
        <f>F36*0.1</f>
        <v>26800000</v>
      </c>
      <c r="G37" s="119" t="e">
        <f>G36*0.1</f>
        <v>#REF!</v>
      </c>
    </row>
    <row r="38" spans="2:7">
      <c r="C38" t="s">
        <v>511</v>
      </c>
      <c r="F38" s="119">
        <f>F36+F37</f>
        <v>294800000</v>
      </c>
      <c r="G38" s="119" t="e">
        <f>G36+G37</f>
        <v>#REF!</v>
      </c>
    </row>
    <row r="43" spans="2:7">
      <c r="B43" t="s">
        <v>512</v>
      </c>
      <c r="C43" t="s">
        <v>513</v>
      </c>
      <c r="D43" t="s">
        <v>514</v>
      </c>
    </row>
    <row r="44" spans="2:7">
      <c r="B44" t="s">
        <v>333</v>
      </c>
      <c r="C44">
        <v>20000000</v>
      </c>
      <c r="D44">
        <v>20000000</v>
      </c>
    </row>
    <row r="45" spans="2:7">
      <c r="B45" t="s">
        <v>338</v>
      </c>
      <c r="C45">
        <v>10000000</v>
      </c>
      <c r="D45">
        <v>10000000</v>
      </c>
    </row>
    <row r="46" spans="2:7">
      <c r="B46" t="s">
        <v>340</v>
      </c>
      <c r="C46">
        <v>10000000</v>
      </c>
      <c r="D46">
        <v>10000000</v>
      </c>
    </row>
    <row r="47" spans="2:7">
      <c r="B47" t="s">
        <v>343</v>
      </c>
      <c r="C47">
        <v>10000000</v>
      </c>
      <c r="D47">
        <v>10000000</v>
      </c>
    </row>
    <row r="48" spans="2:7">
      <c r="B48" t="s">
        <v>347</v>
      </c>
      <c r="C48">
        <v>8000000</v>
      </c>
      <c r="D48">
        <v>8000000</v>
      </c>
    </row>
    <row r="49" spans="2:4">
      <c r="B49" t="s">
        <v>350</v>
      </c>
      <c r="C49">
        <v>10000000</v>
      </c>
      <c r="D49">
        <v>10000000</v>
      </c>
    </row>
    <row r="50" spans="2:4">
      <c r="B50" t="s">
        <v>353</v>
      </c>
      <c r="C50">
        <v>15000000</v>
      </c>
      <c r="D50">
        <v>15000000</v>
      </c>
    </row>
    <row r="51" spans="2:4">
      <c r="B51" t="s">
        <v>356</v>
      </c>
      <c r="C51">
        <v>15000000</v>
      </c>
      <c r="D51">
        <v>15000000</v>
      </c>
    </row>
    <row r="52" spans="2:4">
      <c r="B52" t="s">
        <v>359</v>
      </c>
      <c r="C52">
        <v>2000000</v>
      </c>
      <c r="D52">
        <v>2000000</v>
      </c>
    </row>
    <row r="53" spans="2:4">
      <c r="B53" t="s">
        <v>362</v>
      </c>
      <c r="C53">
        <v>15000000</v>
      </c>
      <c r="D53">
        <v>15000000</v>
      </c>
    </row>
    <row r="54" spans="2:4">
      <c r="B54" t="s">
        <v>365</v>
      </c>
      <c r="C54">
        <v>20000000</v>
      </c>
      <c r="D54">
        <v>20000000</v>
      </c>
    </row>
    <row r="55" spans="2:4">
      <c r="B55" t="s">
        <v>400</v>
      </c>
      <c r="C55">
        <v>24000000</v>
      </c>
      <c r="D55">
        <v>24000000</v>
      </c>
    </row>
    <row r="56" spans="2:4">
      <c r="B56" t="s">
        <v>404</v>
      </c>
      <c r="C56">
        <v>15000000</v>
      </c>
      <c r="D56">
        <v>15000000</v>
      </c>
    </row>
    <row r="57" spans="2:4">
      <c r="B57" t="s">
        <v>408</v>
      </c>
      <c r="C57">
        <v>12000000</v>
      </c>
      <c r="D57">
        <v>12000000</v>
      </c>
    </row>
    <row r="58" spans="2:4">
      <c r="B58" t="s">
        <v>412</v>
      </c>
      <c r="C58">
        <v>20000000</v>
      </c>
      <c r="D58">
        <v>20000000</v>
      </c>
    </row>
    <row r="59" spans="2:4">
      <c r="B59" t="s">
        <v>416</v>
      </c>
      <c r="C59">
        <v>15000000</v>
      </c>
      <c r="D59">
        <v>15000000</v>
      </c>
    </row>
    <row r="60" spans="2:4">
      <c r="B60" t="s">
        <v>419</v>
      </c>
      <c r="C60">
        <v>20000000</v>
      </c>
      <c r="D60">
        <v>20000000</v>
      </c>
    </row>
    <row r="61" spans="2:4">
      <c r="B61" t="s">
        <v>505</v>
      </c>
      <c r="C61">
        <v>12000000</v>
      </c>
      <c r="D61">
        <v>12000000</v>
      </c>
    </row>
    <row r="62" spans="2:4">
      <c r="B62" t="s">
        <v>507</v>
      </c>
      <c r="C62">
        <v>15000000</v>
      </c>
      <c r="D62">
        <v>15000000</v>
      </c>
    </row>
    <row r="63" spans="2:4">
      <c r="B63" t="s">
        <v>509</v>
      </c>
      <c r="C63">
        <v>20000000</v>
      </c>
      <c r="D63">
        <v>20000000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C441-2642-4FFA-AB9E-47296EE18503}">
  <dimension ref="A1:K24"/>
  <sheetViews>
    <sheetView topLeftCell="A23" workbookViewId="0">
      <selection activeCell="E7" sqref="E7"/>
    </sheetView>
  </sheetViews>
  <sheetFormatPr defaultColWidth="9" defaultRowHeight="14.25"/>
  <cols>
    <col min="1" max="1" width="13.125" customWidth="1"/>
    <col min="2" max="2" width="26.875" customWidth="1"/>
    <col min="3" max="3" width="29.375" customWidth="1"/>
    <col min="4" max="4" width="13.25" customWidth="1"/>
    <col min="5" max="5" width="12" bestFit="1" customWidth="1"/>
    <col min="6" max="6" width="8.875" customWidth="1"/>
    <col min="7" max="7" width="39.25" bestFit="1" customWidth="1"/>
    <col min="8" max="8" width="12.625" customWidth="1"/>
    <col min="9" max="9" width="14.25" customWidth="1"/>
    <col min="10" max="10" width="11.5" customWidth="1"/>
    <col min="11" max="11" width="14.625" customWidth="1"/>
  </cols>
  <sheetData>
    <row r="1" spans="1:11" ht="32.25">
      <c r="A1" s="159" t="s">
        <v>515</v>
      </c>
      <c r="B1" s="164"/>
      <c r="C1" s="142"/>
      <c r="D1" s="164"/>
      <c r="E1" s="164"/>
      <c r="F1" s="164"/>
      <c r="G1" s="142"/>
      <c r="H1" s="164"/>
      <c r="I1" s="142"/>
      <c r="J1" s="142"/>
      <c r="K1" s="142"/>
    </row>
    <row r="2" spans="1:11" ht="15.75">
      <c r="A2" s="423" t="s">
        <v>516</v>
      </c>
      <c r="B2" s="423" t="s">
        <v>242</v>
      </c>
      <c r="C2" s="395"/>
      <c r="D2" s="395"/>
      <c r="E2" s="395"/>
      <c r="F2" s="395"/>
      <c r="G2" s="395"/>
      <c r="H2" s="776" t="s">
        <v>241</v>
      </c>
      <c r="I2" s="776"/>
      <c r="J2" s="776"/>
    </row>
    <row r="3" spans="1:11" ht="15">
      <c r="A3" s="396">
        <v>1245</v>
      </c>
      <c r="B3" s="777"/>
      <c r="C3" s="778"/>
      <c r="D3" s="778"/>
      <c r="E3" s="778"/>
      <c r="F3" s="778"/>
      <c r="G3" s="779"/>
      <c r="H3" s="777" t="s">
        <v>517</v>
      </c>
      <c r="I3" s="778"/>
      <c r="J3" s="780"/>
    </row>
    <row r="4" spans="1:11" ht="15" customHeight="1"/>
    <row r="5" spans="1:11" ht="18.75" customHeight="1">
      <c r="A5" s="397"/>
      <c r="B5" s="397"/>
      <c r="C5" s="398"/>
      <c r="D5" s="781" t="s">
        <v>518</v>
      </c>
      <c r="E5" s="782"/>
      <c r="F5" s="783"/>
      <c r="G5" s="397"/>
      <c r="H5" s="784" t="s">
        <v>519</v>
      </c>
      <c r="I5" s="785"/>
      <c r="J5" s="786"/>
      <c r="K5" s="399"/>
    </row>
    <row r="6" spans="1:11" ht="37.5" customHeight="1">
      <c r="A6" s="400" t="s">
        <v>520</v>
      </c>
      <c r="B6" s="400" t="s">
        <v>14</v>
      </c>
      <c r="C6" s="400" t="s">
        <v>521</v>
      </c>
      <c r="D6" s="400" t="s">
        <v>522</v>
      </c>
      <c r="E6" s="401" t="s">
        <v>523</v>
      </c>
      <c r="F6" s="402" t="s">
        <v>524</v>
      </c>
      <c r="G6" s="403" t="s">
        <v>525</v>
      </c>
      <c r="H6" s="400" t="s">
        <v>522</v>
      </c>
      <c r="I6" s="401" t="s">
        <v>523</v>
      </c>
      <c r="J6" s="402" t="s">
        <v>524</v>
      </c>
      <c r="K6" s="404" t="s">
        <v>526</v>
      </c>
    </row>
    <row r="7" spans="1:11" ht="29.25" customHeight="1">
      <c r="A7" s="405">
        <v>1</v>
      </c>
      <c r="B7" s="185" t="s">
        <v>527</v>
      </c>
      <c r="C7" s="185" t="s">
        <v>528</v>
      </c>
      <c r="D7" s="405" t="s">
        <v>529</v>
      </c>
      <c r="E7" s="406" t="s">
        <v>530</v>
      </c>
      <c r="F7" s="407" t="s">
        <v>531</v>
      </c>
      <c r="G7" s="408" t="s">
        <v>532</v>
      </c>
      <c r="H7" s="409" t="s">
        <v>529</v>
      </c>
      <c r="I7" s="406" t="s">
        <v>530</v>
      </c>
      <c r="J7" s="410" t="s">
        <v>533</v>
      </c>
      <c r="K7" s="411" t="s">
        <v>534</v>
      </c>
    </row>
    <row r="8" spans="1:11" ht="39" customHeight="1">
      <c r="A8" s="405">
        <v>2</v>
      </c>
      <c r="B8" s="185" t="s">
        <v>535</v>
      </c>
      <c r="C8" s="185" t="s">
        <v>536</v>
      </c>
      <c r="D8" s="405" t="s">
        <v>529</v>
      </c>
      <c r="E8" s="412" t="s">
        <v>537</v>
      </c>
      <c r="F8" s="407" t="s">
        <v>531</v>
      </c>
      <c r="G8" s="408" t="s">
        <v>538</v>
      </c>
      <c r="H8" s="409" t="s">
        <v>529</v>
      </c>
      <c r="I8" s="413" t="s">
        <v>537</v>
      </c>
      <c r="J8" s="410" t="s">
        <v>533</v>
      </c>
      <c r="K8" s="411" t="s">
        <v>534</v>
      </c>
    </row>
    <row r="9" spans="1:11" ht="38.25" customHeight="1">
      <c r="A9" s="405">
        <v>3</v>
      </c>
      <c r="B9" s="185" t="s">
        <v>539</v>
      </c>
      <c r="C9" s="185" t="s">
        <v>540</v>
      </c>
      <c r="D9" s="414" t="s">
        <v>541</v>
      </c>
      <c r="E9" s="412" t="s">
        <v>542</v>
      </c>
      <c r="F9" s="410" t="s">
        <v>533</v>
      </c>
      <c r="G9" s="408" t="s">
        <v>543</v>
      </c>
      <c r="H9" s="405" t="s">
        <v>544</v>
      </c>
      <c r="I9" s="406" t="s">
        <v>530</v>
      </c>
      <c r="J9" s="410" t="s">
        <v>545</v>
      </c>
      <c r="K9" s="411" t="s">
        <v>534</v>
      </c>
    </row>
    <row r="10" spans="1:11" ht="29.25" customHeight="1">
      <c r="A10" s="405">
        <v>4</v>
      </c>
      <c r="B10" s="185" t="s">
        <v>546</v>
      </c>
      <c r="C10" s="185" t="s">
        <v>547</v>
      </c>
      <c r="D10" s="405" t="s">
        <v>544</v>
      </c>
      <c r="E10" s="406" t="s">
        <v>530</v>
      </c>
      <c r="F10" s="407" t="s">
        <v>548</v>
      </c>
      <c r="G10" s="408" t="s">
        <v>549</v>
      </c>
      <c r="H10" s="409" t="s">
        <v>529</v>
      </c>
      <c r="I10" s="413" t="s">
        <v>537</v>
      </c>
      <c r="J10" s="410" t="s">
        <v>533</v>
      </c>
      <c r="K10" s="411" t="s">
        <v>534</v>
      </c>
    </row>
    <row r="11" spans="1:11" ht="36.75" customHeight="1">
      <c r="A11" s="405">
        <v>5</v>
      </c>
      <c r="B11" s="185" t="s">
        <v>550</v>
      </c>
      <c r="C11" s="185" t="s">
        <v>551</v>
      </c>
      <c r="D11" s="414" t="s">
        <v>541</v>
      </c>
      <c r="E11" s="406" t="s">
        <v>530</v>
      </c>
      <c r="F11" s="407" t="s">
        <v>531</v>
      </c>
      <c r="G11" s="408" t="s">
        <v>552</v>
      </c>
      <c r="H11" s="409" t="s">
        <v>529</v>
      </c>
      <c r="I11" s="406" t="s">
        <v>530</v>
      </c>
      <c r="J11" s="410" t="s">
        <v>533</v>
      </c>
      <c r="K11" s="411" t="s">
        <v>534</v>
      </c>
    </row>
    <row r="12" spans="1:11" ht="41.25" customHeight="1">
      <c r="A12" s="405">
        <v>6</v>
      </c>
      <c r="B12" s="185" t="s">
        <v>553</v>
      </c>
      <c r="C12" s="185" t="s">
        <v>554</v>
      </c>
      <c r="D12" s="414" t="s">
        <v>541</v>
      </c>
      <c r="E12" s="406" t="s">
        <v>530</v>
      </c>
      <c r="F12" s="407" t="s">
        <v>531</v>
      </c>
      <c r="G12" s="408" t="s">
        <v>555</v>
      </c>
      <c r="H12" s="409" t="s">
        <v>529</v>
      </c>
      <c r="I12" s="406" t="s">
        <v>530</v>
      </c>
      <c r="J12" s="410" t="s">
        <v>533</v>
      </c>
      <c r="K12" s="411" t="s">
        <v>534</v>
      </c>
    </row>
    <row r="13" spans="1:11" ht="42" customHeight="1">
      <c r="A13" s="405">
        <v>7</v>
      </c>
      <c r="B13" s="185" t="s">
        <v>556</v>
      </c>
      <c r="C13" s="185" t="s">
        <v>557</v>
      </c>
      <c r="D13" s="405" t="s">
        <v>544</v>
      </c>
      <c r="E13" s="406" t="s">
        <v>530</v>
      </c>
      <c r="F13" s="410" t="s">
        <v>533</v>
      </c>
      <c r="G13" s="408" t="s">
        <v>558</v>
      </c>
      <c r="H13" s="405" t="s">
        <v>544</v>
      </c>
      <c r="I13" s="406" t="s">
        <v>530</v>
      </c>
      <c r="J13" s="410" t="s">
        <v>545</v>
      </c>
      <c r="K13" s="411" t="s">
        <v>534</v>
      </c>
    </row>
    <row r="14" spans="1:11" ht="40.5" customHeight="1">
      <c r="A14" s="405">
        <v>8</v>
      </c>
      <c r="B14" s="185" t="s">
        <v>559</v>
      </c>
      <c r="C14" s="185" t="s">
        <v>560</v>
      </c>
      <c r="D14" s="405" t="s">
        <v>529</v>
      </c>
      <c r="E14" s="406" t="s">
        <v>530</v>
      </c>
      <c r="F14" s="410" t="s">
        <v>533</v>
      </c>
      <c r="G14" s="408" t="s">
        <v>561</v>
      </c>
      <c r="H14" s="405" t="s">
        <v>544</v>
      </c>
      <c r="I14" s="406" t="s">
        <v>530</v>
      </c>
      <c r="J14" s="410" t="s">
        <v>545</v>
      </c>
      <c r="K14" s="411" t="s">
        <v>534</v>
      </c>
    </row>
    <row r="15" spans="1:11" ht="36" customHeight="1">
      <c r="A15" s="405">
        <v>9</v>
      </c>
      <c r="B15" s="185" t="s">
        <v>562</v>
      </c>
      <c r="C15" s="185" t="s">
        <v>563</v>
      </c>
      <c r="D15" s="405" t="s">
        <v>544</v>
      </c>
      <c r="E15" s="412" t="s">
        <v>537</v>
      </c>
      <c r="F15" s="407" t="s">
        <v>531</v>
      </c>
      <c r="G15" s="408" t="s">
        <v>564</v>
      </c>
      <c r="H15" s="409" t="s">
        <v>529</v>
      </c>
      <c r="I15" s="413" t="s">
        <v>537</v>
      </c>
      <c r="J15" s="410" t="s">
        <v>533</v>
      </c>
      <c r="K15" s="411" t="s">
        <v>565</v>
      </c>
    </row>
    <row r="16" spans="1:11" ht="39.75" customHeight="1">
      <c r="A16" s="405">
        <v>10</v>
      </c>
      <c r="B16" s="185" t="s">
        <v>566</v>
      </c>
      <c r="C16" s="185" t="s">
        <v>567</v>
      </c>
      <c r="D16" s="414" t="s">
        <v>541</v>
      </c>
      <c r="E16" s="406" t="s">
        <v>530</v>
      </c>
      <c r="F16" s="407" t="s">
        <v>531</v>
      </c>
      <c r="G16" s="408" t="s">
        <v>568</v>
      </c>
      <c r="H16" s="409" t="s">
        <v>529</v>
      </c>
      <c r="I16" s="406" t="s">
        <v>530</v>
      </c>
      <c r="J16" s="410" t="s">
        <v>533</v>
      </c>
      <c r="K16" s="411" t="s">
        <v>534</v>
      </c>
    </row>
    <row r="17" spans="1:11" ht="48" customHeight="1">
      <c r="A17" s="405">
        <v>11</v>
      </c>
      <c r="B17" s="185" t="s">
        <v>569</v>
      </c>
      <c r="C17" s="185" t="s">
        <v>570</v>
      </c>
      <c r="D17" s="414" t="s">
        <v>541</v>
      </c>
      <c r="E17" s="406" t="s">
        <v>530</v>
      </c>
      <c r="F17" s="407" t="s">
        <v>531</v>
      </c>
      <c r="G17" s="408" t="s">
        <v>571</v>
      </c>
      <c r="H17" s="409" t="s">
        <v>529</v>
      </c>
      <c r="I17" s="413" t="s">
        <v>542</v>
      </c>
      <c r="J17" s="410" t="s">
        <v>545</v>
      </c>
      <c r="K17" s="411" t="s">
        <v>534</v>
      </c>
    </row>
    <row r="18" spans="1:11" ht="32.25" customHeight="1">
      <c r="A18" s="405">
        <v>12</v>
      </c>
      <c r="B18" s="185" t="s">
        <v>572</v>
      </c>
      <c r="C18" s="185" t="s">
        <v>573</v>
      </c>
      <c r="D18" s="414" t="s">
        <v>541</v>
      </c>
      <c r="E18" s="412" t="s">
        <v>537</v>
      </c>
      <c r="F18" s="407" t="s">
        <v>531</v>
      </c>
      <c r="G18" s="408" t="s">
        <v>574</v>
      </c>
      <c r="H18" s="409" t="s">
        <v>529</v>
      </c>
      <c r="I18" s="413" t="s">
        <v>530</v>
      </c>
      <c r="J18" s="410" t="s">
        <v>533</v>
      </c>
      <c r="K18" s="411" t="s">
        <v>534</v>
      </c>
    </row>
    <row r="19" spans="1:11" ht="44.25" customHeight="1">
      <c r="A19" s="405">
        <v>13</v>
      </c>
      <c r="B19" s="185" t="s">
        <v>575</v>
      </c>
      <c r="C19" s="185" t="s">
        <v>576</v>
      </c>
      <c r="D19" s="414" t="s">
        <v>541</v>
      </c>
      <c r="E19" s="406" t="s">
        <v>530</v>
      </c>
      <c r="F19" s="407" t="s">
        <v>531</v>
      </c>
      <c r="G19" s="408" t="s">
        <v>577</v>
      </c>
      <c r="H19" s="409" t="s">
        <v>529</v>
      </c>
      <c r="I19" s="413" t="s">
        <v>530</v>
      </c>
      <c r="J19" s="410" t="s">
        <v>545</v>
      </c>
      <c r="K19" s="411" t="s">
        <v>534</v>
      </c>
    </row>
    <row r="20" spans="1:11" ht="35.25" customHeight="1">
      <c r="A20" s="405">
        <v>14</v>
      </c>
      <c r="B20" s="185" t="s">
        <v>578</v>
      </c>
      <c r="C20" s="185" t="s">
        <v>579</v>
      </c>
      <c r="D20" s="405" t="s">
        <v>529</v>
      </c>
      <c r="E20" s="412" t="s">
        <v>542</v>
      </c>
      <c r="F20" s="407" t="s">
        <v>533</v>
      </c>
      <c r="G20" s="408" t="s">
        <v>580</v>
      </c>
      <c r="H20" s="409" t="s">
        <v>529</v>
      </c>
      <c r="I20" s="413" t="s">
        <v>542</v>
      </c>
      <c r="J20" s="410" t="s">
        <v>545</v>
      </c>
      <c r="K20" s="411" t="s">
        <v>534</v>
      </c>
    </row>
    <row r="21" spans="1:11" ht="40.5" customHeight="1">
      <c r="A21" s="405">
        <v>15</v>
      </c>
      <c r="B21" s="185" t="s">
        <v>581</v>
      </c>
      <c r="C21" s="185" t="s">
        <v>560</v>
      </c>
      <c r="D21" s="405" t="s">
        <v>541</v>
      </c>
      <c r="E21" s="412" t="s">
        <v>530</v>
      </c>
      <c r="F21" s="407" t="s">
        <v>531</v>
      </c>
      <c r="G21" s="408" t="s">
        <v>582</v>
      </c>
      <c r="H21" s="409" t="s">
        <v>529</v>
      </c>
      <c r="I21" s="413" t="s">
        <v>542</v>
      </c>
      <c r="J21" s="410" t="s">
        <v>533</v>
      </c>
      <c r="K21" s="411" t="s">
        <v>534</v>
      </c>
    </row>
    <row r="22" spans="1:11" ht="34.5" customHeight="1">
      <c r="A22" s="405">
        <v>16</v>
      </c>
      <c r="B22" s="185" t="s">
        <v>559</v>
      </c>
      <c r="C22" s="185" t="s">
        <v>560</v>
      </c>
      <c r="D22" s="405" t="s">
        <v>529</v>
      </c>
      <c r="E22" s="412" t="s">
        <v>542</v>
      </c>
      <c r="F22" s="407" t="s">
        <v>533</v>
      </c>
      <c r="G22" s="408" t="s">
        <v>583</v>
      </c>
      <c r="H22" s="409" t="s">
        <v>529</v>
      </c>
      <c r="I22" s="413" t="s">
        <v>584</v>
      </c>
      <c r="J22" s="410" t="s">
        <v>533</v>
      </c>
      <c r="K22" s="411" t="s">
        <v>534</v>
      </c>
    </row>
    <row r="23" spans="1:11" ht="37.5" customHeight="1">
      <c r="A23" s="405">
        <v>17</v>
      </c>
      <c r="B23" s="415" t="s">
        <v>585</v>
      </c>
      <c r="C23" s="415" t="s">
        <v>586</v>
      </c>
      <c r="D23" s="416" t="s">
        <v>529</v>
      </c>
      <c r="E23" s="417" t="s">
        <v>537</v>
      </c>
      <c r="F23" s="418" t="s">
        <v>531</v>
      </c>
      <c r="G23" s="419" t="s">
        <v>587</v>
      </c>
      <c r="H23" s="420" t="s">
        <v>529</v>
      </c>
      <c r="I23" s="421" t="s">
        <v>542</v>
      </c>
      <c r="J23" s="422" t="s">
        <v>545</v>
      </c>
      <c r="K23" s="411" t="s">
        <v>534</v>
      </c>
    </row>
    <row r="24" spans="1:11" ht="15" customHeight="1"/>
  </sheetData>
  <mergeCells count="5">
    <mergeCell ref="H2:J2"/>
    <mergeCell ref="B3:G3"/>
    <mergeCell ref="H3:J3"/>
    <mergeCell ref="D5:F5"/>
    <mergeCell ref="H5:J5"/>
  </mergeCells>
  <conditionalFormatting sqref="H7:H23 D7:D23">
    <cfRule type="containsText" dxfId="12" priority="10" operator="containsText" text="INTOLERABLE">
      <formula>NOT(ISERROR(SEARCH("INTOLERABLE",D7)))</formula>
    </cfRule>
    <cfRule type="containsText" dxfId="11" priority="11" operator="containsText" text="UNDESIRABLE">
      <formula>NOT(ISERROR(SEARCH("UNDESIRABLE",D7)))</formula>
    </cfRule>
    <cfRule type="containsText" dxfId="10" priority="12" operator="containsText" text="TOLERABLE">
      <formula>NOT(ISERROR(SEARCH("TOLERABLE",D7)))</formula>
    </cfRule>
    <cfRule type="containsText" dxfId="9" priority="13" operator="containsText" text="ACCEPTABLE">
      <formula>NOT(ISERROR(SEARCH("ACCEPTABLE",D7)))</formula>
    </cfRule>
  </conditionalFormatting>
  <conditionalFormatting sqref="E7:E23 I7:I23">
    <cfRule type="containsText" dxfId="8" priority="7" operator="containsText" text="POSSIBLE">
      <formula>NOT(ISERROR(SEARCH("POSSIBLE",E7)))</formula>
    </cfRule>
    <cfRule type="containsText" dxfId="7" priority="8" operator="containsText" text="IMPROBABLE">
      <formula>NOT(ISERROR(SEARCH("IMPROBABLE",E7)))</formula>
    </cfRule>
    <cfRule type="containsText" dxfId="6" priority="9" operator="containsText" text="PROBABLE">
      <formula>NOT(ISERROR(SEARCH("PROBABLE",E7)))</formula>
    </cfRule>
  </conditionalFormatting>
  <conditionalFormatting sqref="J7:J23 F7:F23">
    <cfRule type="containsText" dxfId="5" priority="3" operator="containsText" text="LOW">
      <formula>NOT(ISERROR(SEARCH("LOW",F7)))</formula>
    </cfRule>
    <cfRule type="containsText" dxfId="4" priority="4" operator="containsText" text="MEDIUM">
      <formula>NOT(ISERROR(SEARCH("MEDIUM",F7)))</formula>
    </cfRule>
    <cfRule type="containsText" dxfId="3" priority="5" operator="containsText" text="HIGH">
      <formula>NOT(ISERROR(SEARCH("HIGH",F7)))</formula>
    </cfRule>
    <cfRule type="containsText" dxfId="2" priority="6" operator="containsText" text="EXTREME">
      <formula>NOT(ISERROR(SEARCH("EXTREME",F7)))</formula>
    </cfRule>
  </conditionalFormatting>
  <conditionalFormatting sqref="K7:K23">
    <cfRule type="containsText" dxfId="1" priority="1" operator="containsText" text="NO">
      <formula>NOT(ISERROR(SEARCH("NO",K7)))</formula>
    </cfRule>
    <cfRule type="containsText" dxfId="0" priority="2" operator="containsText" text="YES">
      <formula>NOT(ISERROR(SEARCH("YES",K7)))</formula>
    </cfRule>
  </conditionalFormatting>
  <dataValidations count="4">
    <dataValidation type="list" allowBlank="1" showInputMessage="1" showErrorMessage="1" sqref="K7:K23" xr:uid="{2EA0C044-E9C7-4B79-A1DD-A8F3E064B351}">
      <formula1>$V$7:$V$8</formula1>
    </dataValidation>
    <dataValidation type="list" allowBlank="1" showInputMessage="1" showErrorMessage="1" sqref="J7:J23 F7:F23" xr:uid="{EC993F22-90CE-4A46-9774-F697FE6CF6C9}">
      <formula1>$T$7:$T$10</formula1>
    </dataValidation>
    <dataValidation type="list" allowBlank="1" showInputMessage="1" showErrorMessage="1" sqref="E7:E23 I7:I23" xr:uid="{83706DFE-2483-4FEB-AC2B-579352B00CD9}">
      <formula1>$R$7:$R$9</formula1>
    </dataValidation>
    <dataValidation type="list" allowBlank="1" showInputMessage="1" showErrorMessage="1" sqref="H7:H23 D7:D23" xr:uid="{CC4D2CE0-47F9-4D9B-9A86-45A5B5A6E8B4}">
      <formula1>$P$7:$P$10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E74E-E7EE-4EEA-81A0-6AA99419C3BE}">
  <dimension ref="A2:E21"/>
  <sheetViews>
    <sheetView workbookViewId="0">
      <selection activeCell="H8" sqref="H8"/>
    </sheetView>
  </sheetViews>
  <sheetFormatPr defaultRowHeight="14.25"/>
  <cols>
    <col min="1" max="1" width="29.5" customWidth="1"/>
    <col min="2" max="2" width="24.25" customWidth="1"/>
    <col min="3" max="3" width="16" customWidth="1"/>
    <col min="4" max="5" width="15.375" customWidth="1"/>
  </cols>
  <sheetData>
    <row r="2" spans="1:5" ht="36.75" customHeight="1">
      <c r="A2" s="787" t="s">
        <v>588</v>
      </c>
      <c r="B2" s="788"/>
      <c r="C2" s="788"/>
      <c r="D2" s="788"/>
      <c r="E2" s="789"/>
    </row>
    <row r="3" spans="1:5" ht="36.75" customHeight="1">
      <c r="A3" s="424" t="s">
        <v>589</v>
      </c>
      <c r="B3" s="425" t="s">
        <v>590</v>
      </c>
      <c r="C3" s="790" t="s">
        <v>591</v>
      </c>
      <c r="D3" s="791"/>
      <c r="E3" s="792"/>
    </row>
    <row r="4" spans="1:5" ht="32.25" customHeight="1">
      <c r="A4" s="549" t="s">
        <v>528</v>
      </c>
      <c r="B4" s="542">
        <v>0.08</v>
      </c>
      <c r="C4" s="530">
        <v>0.08</v>
      </c>
      <c r="D4" s="531"/>
      <c r="E4" s="532"/>
    </row>
    <row r="5" spans="1:5" ht="31.5" customHeight="1">
      <c r="A5" s="549" t="s">
        <v>536</v>
      </c>
      <c r="B5" s="542">
        <v>0.8</v>
      </c>
      <c r="C5" s="533"/>
      <c r="D5" s="534"/>
      <c r="E5" s="535">
        <f>B5</f>
        <v>0.8</v>
      </c>
    </row>
    <row r="6" spans="1:5" ht="40.5" customHeight="1">
      <c r="A6" s="549" t="s">
        <v>540</v>
      </c>
      <c r="B6" s="542">
        <v>0.6</v>
      </c>
      <c r="C6" s="533"/>
      <c r="D6" s="536">
        <f>B6</f>
        <v>0.6</v>
      </c>
      <c r="E6" s="537"/>
    </row>
    <row r="7" spans="1:5" ht="40.5" customHeight="1">
      <c r="A7" s="549" t="s">
        <v>547</v>
      </c>
      <c r="B7" s="542">
        <v>0.8</v>
      </c>
      <c r="C7" s="533"/>
      <c r="D7" s="534"/>
      <c r="E7" s="535">
        <f>B7</f>
        <v>0.8</v>
      </c>
    </row>
    <row r="8" spans="1:5" ht="43.5" customHeight="1">
      <c r="A8" s="549" t="s">
        <v>554</v>
      </c>
      <c r="B8" s="542">
        <v>0.3</v>
      </c>
      <c r="C8" s="538">
        <f>B8</f>
        <v>0.3</v>
      </c>
      <c r="D8" s="534"/>
      <c r="E8" s="539"/>
    </row>
    <row r="9" spans="1:5" ht="46.5" customHeight="1">
      <c r="A9" s="550" t="s">
        <v>592</v>
      </c>
      <c r="B9" s="542">
        <v>0.2</v>
      </c>
      <c r="C9" s="538">
        <f>B9</f>
        <v>0.2</v>
      </c>
      <c r="D9" s="540"/>
      <c r="E9" s="537"/>
    </row>
    <row r="10" spans="1:5" ht="45.75" customHeight="1">
      <c r="A10" s="550" t="s">
        <v>563</v>
      </c>
      <c r="B10" s="542">
        <v>0.7</v>
      </c>
      <c r="C10" s="533"/>
      <c r="D10" s="536">
        <f>B10</f>
        <v>0.7</v>
      </c>
      <c r="E10" s="537"/>
    </row>
    <row r="11" spans="1:5" ht="44.25" customHeight="1">
      <c r="A11" s="550" t="s">
        <v>593</v>
      </c>
      <c r="B11" s="542">
        <v>0.8</v>
      </c>
      <c r="C11" s="533"/>
      <c r="D11" s="540"/>
      <c r="E11" s="537">
        <f>B11</f>
        <v>0.8</v>
      </c>
    </row>
    <row r="12" spans="1:5" ht="44.25" customHeight="1">
      <c r="A12" s="550" t="s">
        <v>594</v>
      </c>
      <c r="B12" s="542">
        <v>0.5</v>
      </c>
      <c r="C12" s="541"/>
      <c r="D12" s="536">
        <f>B12</f>
        <v>0.5</v>
      </c>
      <c r="E12" s="539"/>
    </row>
    <row r="13" spans="1:5" ht="43.5" customHeight="1">
      <c r="A13" s="550" t="s">
        <v>595</v>
      </c>
      <c r="B13" s="542">
        <v>0.88</v>
      </c>
      <c r="C13" s="533"/>
      <c r="D13" s="540"/>
      <c r="E13" s="537">
        <f>B13</f>
        <v>0.88</v>
      </c>
    </row>
    <row r="14" spans="1:5" ht="20.25" customHeight="1">
      <c r="A14" s="793" t="s">
        <v>596</v>
      </c>
      <c r="B14" s="795" t="s">
        <v>597</v>
      </c>
      <c r="C14" s="426">
        <f>SUM(C4:C13)/COUNTA(C4:C13)</f>
        <v>0.19333333333333336</v>
      </c>
      <c r="D14" s="426">
        <f>SUM(D4:D13)/COUNTA(D4:D13)</f>
        <v>0.6</v>
      </c>
      <c r="E14" s="426">
        <f>SUM(E4:E13)/COUNTA(E4:E13)</f>
        <v>0.82000000000000006</v>
      </c>
    </row>
    <row r="15" spans="1:5" ht="20.25" customHeight="1">
      <c r="A15" s="794"/>
      <c r="B15" s="796"/>
      <c r="C15" s="427" t="s">
        <v>598</v>
      </c>
      <c r="D15" s="428" t="s">
        <v>599</v>
      </c>
      <c r="E15" s="429" t="s">
        <v>600</v>
      </c>
    </row>
    <row r="16" spans="1:5" ht="20.25" customHeight="1"/>
    <row r="17" spans="1:5" ht="20.25" customHeight="1"/>
    <row r="18" spans="1:5" ht="66" customHeight="1">
      <c r="A18" s="430" t="s">
        <v>601</v>
      </c>
      <c r="B18" s="431" t="s">
        <v>521</v>
      </c>
      <c r="C18" s="432" t="s">
        <v>602</v>
      </c>
      <c r="D18" s="432" t="s">
        <v>603</v>
      </c>
      <c r="E18" s="433" t="s">
        <v>604</v>
      </c>
    </row>
    <row r="19" spans="1:5" ht="28.5" customHeight="1">
      <c r="A19" s="434" t="s">
        <v>598</v>
      </c>
      <c r="B19" s="547" t="s">
        <v>605</v>
      </c>
      <c r="C19" s="543" t="s">
        <v>606</v>
      </c>
      <c r="D19" s="543" t="s">
        <v>607</v>
      </c>
      <c r="E19" s="544" t="s">
        <v>608</v>
      </c>
    </row>
    <row r="20" spans="1:5" ht="24.75" customHeight="1">
      <c r="A20" s="435" t="s">
        <v>599</v>
      </c>
      <c r="B20" s="547" t="s">
        <v>609</v>
      </c>
      <c r="C20" s="543" t="s">
        <v>610</v>
      </c>
      <c r="D20" s="543" t="s">
        <v>611</v>
      </c>
      <c r="E20" s="544" t="s">
        <v>612</v>
      </c>
    </row>
    <row r="21" spans="1:5" ht="27" customHeight="1">
      <c r="A21" s="436" t="s">
        <v>613</v>
      </c>
      <c r="B21" s="548" t="s">
        <v>614</v>
      </c>
      <c r="C21" s="545" t="s">
        <v>615</v>
      </c>
      <c r="D21" s="545" t="s">
        <v>616</v>
      </c>
      <c r="E21" s="546" t="s">
        <v>617</v>
      </c>
    </row>
  </sheetData>
  <mergeCells count="4">
    <mergeCell ref="A2:E2"/>
    <mergeCell ref="C3:E3"/>
    <mergeCell ref="A14:A15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Cañon</dc:creator>
  <cp:keywords/>
  <dc:description/>
  <cp:lastModifiedBy>INGRID VICTORIA  OVIEDO NARVAEZ</cp:lastModifiedBy>
  <cp:revision/>
  <dcterms:created xsi:type="dcterms:W3CDTF">2023-09-29T01:14:10Z</dcterms:created>
  <dcterms:modified xsi:type="dcterms:W3CDTF">2025-11-01T16:08:29Z</dcterms:modified>
  <cp:category/>
  <cp:contentStatus/>
</cp:coreProperties>
</file>